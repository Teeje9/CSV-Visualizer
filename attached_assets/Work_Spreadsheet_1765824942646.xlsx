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587c7b691da9a12/"/>
    </mc:Choice>
  </mc:AlternateContent>
  <xr:revisionPtr revIDLastSave="0" documentId="8_{F826345C-0BFE-4F31-8904-4E7D2E982921}" xr6:coauthVersionLast="47" xr6:coauthVersionMax="47" xr10:uidLastSave="{00000000-0000-0000-0000-000000000000}"/>
  <bookViews>
    <workbookView xWindow="1776" yWindow="1044" windowWidth="18036" windowHeight="11112" xr2:uid="{000C4B7C-A714-4FA8-85E9-590F09486E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D175" i="1" l="1"/>
  <c r="BB175" i="1"/>
  <c r="AY175" i="1"/>
  <c r="AX175" i="1"/>
  <c r="AW175" i="1"/>
  <c r="AU175" i="1"/>
  <c r="AQ175" i="1"/>
  <c r="AN175" i="1"/>
  <c r="AJ175" i="1"/>
  <c r="AF175" i="1"/>
  <c r="AE175" i="1"/>
  <c r="AA175" i="1"/>
  <c r="Z175" i="1"/>
  <c r="Y175" i="1"/>
  <c r="X175" i="1"/>
  <c r="V175" i="1"/>
  <c r="U175" i="1"/>
  <c r="T175" i="1"/>
  <c r="R175" i="1"/>
  <c r="P175" i="1"/>
  <c r="O175" i="1"/>
  <c r="N175" i="1"/>
  <c r="M175" i="1"/>
  <c r="L175" i="1"/>
  <c r="I175" i="1"/>
  <c r="H175" i="1"/>
  <c r="G175" i="1"/>
  <c r="F175" i="1"/>
  <c r="E175" i="1"/>
  <c r="D172" i="1"/>
  <c r="D171" i="1"/>
  <c r="D170" i="1"/>
  <c r="D168" i="1"/>
  <c r="W166" i="1"/>
  <c r="D166" i="1" s="1"/>
  <c r="D165" i="1"/>
  <c r="AI164" i="1"/>
  <c r="D164" i="1" s="1"/>
  <c r="S163" i="1"/>
  <c r="Q163" i="1"/>
  <c r="D163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3" i="1"/>
  <c r="D141" i="1"/>
  <c r="D139" i="1"/>
  <c r="AL138" i="1"/>
  <c r="AF138" i="1"/>
  <c r="D138" i="1"/>
  <c r="D137" i="1"/>
  <c r="D135" i="1"/>
  <c r="D133" i="1"/>
  <c r="D131" i="1"/>
  <c r="D130" i="1"/>
  <c r="D129" i="1"/>
  <c r="D128" i="1"/>
  <c r="D127" i="1"/>
  <c r="D126" i="1"/>
  <c r="Q125" i="1"/>
  <c r="D125" i="1" s="1"/>
  <c r="D123" i="1"/>
  <c r="D121" i="1"/>
  <c r="D120" i="1"/>
  <c r="D118" i="1"/>
  <c r="D116" i="1"/>
  <c r="D115" i="1"/>
  <c r="D114" i="1"/>
  <c r="D113" i="1"/>
  <c r="AT112" i="1"/>
  <c r="AS112" i="1"/>
  <c r="AP112" i="1"/>
  <c r="AM112" i="1"/>
  <c r="AM175" i="1" s="1"/>
  <c r="AK112" i="1"/>
  <c r="AK175" i="1" s="1"/>
  <c r="AG112" i="1"/>
  <c r="AG175" i="1" s="1"/>
  <c r="W112" i="1"/>
  <c r="W175" i="1" s="1"/>
  <c r="S112" i="1"/>
  <c r="S175" i="1" s="1"/>
  <c r="Q112" i="1"/>
  <c r="D112" i="1" s="1"/>
  <c r="K112" i="1"/>
  <c r="K175" i="1" s="1"/>
  <c r="J112" i="1"/>
  <c r="J175" i="1" s="1"/>
  <c r="D111" i="1"/>
  <c r="D110" i="1"/>
  <c r="D109" i="1"/>
  <c r="D108" i="1"/>
  <c r="D106" i="1"/>
  <c r="D105" i="1"/>
  <c r="D103" i="1"/>
  <c r="D101" i="1"/>
  <c r="D99" i="1"/>
  <c r="D97" i="1"/>
  <c r="D95" i="1"/>
  <c r="D93" i="1"/>
  <c r="D91" i="1"/>
  <c r="D89" i="1"/>
  <c r="D88" i="1"/>
  <c r="D86" i="1"/>
  <c r="D85" i="1"/>
  <c r="D84" i="1"/>
  <c r="D83" i="1"/>
  <c r="D81" i="1"/>
  <c r="D79" i="1"/>
  <c r="D77" i="1"/>
  <c r="D75" i="1"/>
  <c r="D73" i="1"/>
  <c r="D71" i="1"/>
  <c r="D69" i="1"/>
  <c r="D67" i="1"/>
  <c r="D65" i="1"/>
  <c r="D64" i="1"/>
  <c r="D62" i="1"/>
  <c r="D61" i="1"/>
  <c r="D60" i="1"/>
  <c r="D59" i="1"/>
  <c r="D58" i="1"/>
  <c r="D57" i="1"/>
  <c r="D56" i="1"/>
  <c r="D55" i="1"/>
  <c r="D53" i="1"/>
  <c r="D51" i="1"/>
  <c r="D50" i="1"/>
  <c r="D49" i="1"/>
  <c r="D47" i="1"/>
  <c r="D46" i="1"/>
  <c r="D44" i="1"/>
  <c r="D43" i="1"/>
  <c r="D42" i="1"/>
  <c r="D40" i="1"/>
  <c r="D39" i="1"/>
  <c r="D38" i="1"/>
  <c r="D37" i="1"/>
  <c r="D36" i="1"/>
  <c r="D35" i="1"/>
  <c r="D33" i="1"/>
  <c r="D32" i="1"/>
  <c r="BC31" i="1"/>
  <c r="BC175" i="1" s="1"/>
  <c r="BA31" i="1"/>
  <c r="BA175" i="1" s="1"/>
  <c r="AZ31" i="1"/>
  <c r="AZ175" i="1" s="1"/>
  <c r="AV31" i="1"/>
  <c r="AV175" i="1" s="1"/>
  <c r="AT31" i="1"/>
  <c r="AT175" i="1" s="1"/>
  <c r="AS31" i="1"/>
  <c r="AS175" i="1" s="1"/>
  <c r="AR31" i="1"/>
  <c r="AR175" i="1" s="1"/>
  <c r="AP31" i="1"/>
  <c r="AP175" i="1" s="1"/>
  <c r="AO31" i="1"/>
  <c r="AN31" i="1"/>
  <c r="AL31" i="1"/>
  <c r="AL175" i="1" s="1"/>
  <c r="AI31" i="1"/>
  <c r="AI175" i="1" s="1"/>
  <c r="AD31" i="1"/>
  <c r="AD175" i="1" s="1"/>
  <c r="AC31" i="1"/>
  <c r="AC175" i="1" s="1"/>
  <c r="AB31" i="1"/>
  <c r="AB175" i="1" s="1"/>
  <c r="D31" i="1"/>
  <c r="D29" i="1"/>
  <c r="D27" i="1"/>
  <c r="D25" i="1"/>
  <c r="AO23" i="1"/>
  <c r="AO175" i="1" s="1"/>
  <c r="D23" i="1"/>
  <c r="D21" i="1"/>
  <c r="D19" i="1"/>
  <c r="D17" i="1"/>
  <c r="D16" i="1"/>
  <c r="AH15" i="1"/>
  <c r="AH175" i="1" s="1"/>
  <c r="D15" i="1"/>
  <c r="D14" i="1"/>
  <c r="D13" i="1"/>
  <c r="D12" i="1"/>
  <c r="D10" i="1"/>
  <c r="D9" i="1"/>
  <c r="D7" i="1"/>
  <c r="D6" i="1"/>
  <c r="Q175" i="1" l="1"/>
</calcChain>
</file>

<file path=xl/sharedStrings.xml><?xml version="1.0" encoding="utf-8"?>
<sst xmlns="http://schemas.openxmlformats.org/spreadsheetml/2006/main" count="458" uniqueCount="373">
  <si>
    <t>Week 1</t>
  </si>
  <si>
    <t>Week 2</t>
  </si>
  <si>
    <t>Week 3</t>
  </si>
  <si>
    <t>Weel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</si>
  <si>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</si>
  <si>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</si>
  <si>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</si>
  <si>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</si>
  <si>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</si>
  <si>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</si>
  <si>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</si>
  <si>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</si>
  <si>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</si>
  <si>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</si>
  <si>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</si>
  <si>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</si>
  <si>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</si>
  <si>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</si>
  <si>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</si>
  <si>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</si>
  <si>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</si>
  <si>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</si>
  <si>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</si>
  <si>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</si>
  <si>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</si>
  <si>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</si>
  <si>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</si>
  <si>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</si>
  <si>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</si>
  <si>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</si>
  <si>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</si>
  <si>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</si>
  <si>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</si>
  <si>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</si>
  <si>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</si>
  <si>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</si>
  <si>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</si>
  <si>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</si>
  <si>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</si>
  <si>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</si>
  <si>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</si>
  <si>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</si>
  <si>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</si>
  <si>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</si>
  <si>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</si>
  <si>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</si>
  <si>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</si>
  <si>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</si>
  <si>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</si>
  <si>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</si>
  <si>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</si>
  <si>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</si>
  <si>
    <t>Company Name</t>
  </si>
  <si>
    <t>Contact Name</t>
  </si>
  <si>
    <t>Contact Phone</t>
  </si>
  <si>
    <t>Total YTD</t>
  </si>
  <si>
    <t>1/1-1/7</t>
  </si>
  <si>
    <t>1/8-1/14</t>
  </si>
  <si>
    <t>1/15-1/21</t>
  </si>
  <si>
    <t>1/22-1/28</t>
  </si>
  <si>
    <t>1/29-2/4</t>
  </si>
  <si>
    <t>2/5-2/11</t>
  </si>
  <si>
    <t>2/12-2/18</t>
  </si>
  <si>
    <t>2/19-2/25</t>
  </si>
  <si>
    <t>2/26-3/4</t>
  </si>
  <si>
    <t>3/5-3/11</t>
  </si>
  <si>
    <t>3/12-3/18</t>
  </si>
  <si>
    <t>3/19-3/25</t>
  </si>
  <si>
    <t>3/26-4/1</t>
  </si>
  <si>
    <t>4/2-4/8</t>
  </si>
  <si>
    <t>4/9-4/15</t>
  </si>
  <si>
    <t>4/16-4/22</t>
  </si>
  <si>
    <t>4/23-4/29</t>
  </si>
  <si>
    <t>4/30-5/6</t>
  </si>
  <si>
    <t>5/7-5/13</t>
  </si>
  <si>
    <t>5/14-5/20</t>
  </si>
  <si>
    <t>5/21-5/27</t>
  </si>
  <si>
    <t>5/28-6/3</t>
  </si>
  <si>
    <t>6/4-6/10</t>
  </si>
  <si>
    <t>6//11-6/17</t>
  </si>
  <si>
    <t>6/18-6/24</t>
  </si>
  <si>
    <t>6/25-7/1</t>
  </si>
  <si>
    <t>7/2-7/8</t>
  </si>
  <si>
    <t>7/9-7/15</t>
  </si>
  <si>
    <t>7/16-7/22</t>
  </si>
  <si>
    <t>7//23-7/29</t>
  </si>
  <si>
    <t>7/30-8/5</t>
  </si>
  <si>
    <t>8/6-8/12</t>
  </si>
  <si>
    <t>8/13-8/19</t>
  </si>
  <si>
    <t>8/20-8/26</t>
  </si>
  <si>
    <t>8/27-9/2</t>
  </si>
  <si>
    <t>9/3-9/9</t>
  </si>
  <si>
    <t>9/10/9/16</t>
  </si>
  <si>
    <t>9/17-9/23</t>
  </si>
  <si>
    <t>9/24-9/30</t>
  </si>
  <si>
    <t>10/1-10/7</t>
  </si>
  <si>
    <t>10/8-10/14</t>
  </si>
  <si>
    <t>10/15-10/21</t>
  </si>
  <si>
    <t>10/22-10/28</t>
  </si>
  <si>
    <t>10/29-11/4</t>
  </si>
  <si>
    <t>11/5-11/11</t>
  </si>
  <si>
    <t>11/12-11/18</t>
  </si>
  <si>
    <t>11/19-11/25</t>
  </si>
  <si>
    <t>11/26-12/2</t>
  </si>
  <si>
    <t>12/3-12/9</t>
  </si>
  <si>
    <t>12/10-12/16</t>
  </si>
  <si>
    <t>12/17-12/23</t>
  </si>
  <si>
    <t>12/24-12/30</t>
  </si>
  <si>
    <t>Accu-Time Systems</t>
  </si>
  <si>
    <t>Kerri</t>
  </si>
  <si>
    <t>860-818-1289</t>
  </si>
  <si>
    <t>Kris</t>
  </si>
  <si>
    <t>860-310-7622</t>
  </si>
  <si>
    <t>Aerospace MB</t>
  </si>
  <si>
    <t>Nicole</t>
  </si>
  <si>
    <t>860-994-6001</t>
  </si>
  <si>
    <t>860-324-7091</t>
  </si>
  <si>
    <t>Aflac</t>
  </si>
  <si>
    <t>Susan</t>
  </si>
  <si>
    <t>860-836-3450</t>
  </si>
  <si>
    <t xml:space="preserve"> </t>
  </si>
  <si>
    <t>Tracy Torbick</t>
  </si>
  <si>
    <t>860-543-0382</t>
  </si>
  <si>
    <t>860-593-8892</t>
  </si>
  <si>
    <t>Latoya/Victoria?</t>
  </si>
  <si>
    <t>860-965-4789</t>
  </si>
  <si>
    <t>Connor</t>
  </si>
  <si>
    <t>949-378-9424</t>
  </si>
  <si>
    <t>Ramona</t>
  </si>
  <si>
    <t>959-333-6857</t>
  </si>
  <si>
    <t>Amazon</t>
  </si>
  <si>
    <t>Megan</t>
  </si>
  <si>
    <t>781-864-5191</t>
  </si>
  <si>
    <t>Arbon</t>
  </si>
  <si>
    <t>Velma</t>
  </si>
  <si>
    <t>860-509-7079</t>
  </si>
  <si>
    <t>Bath Fitters</t>
  </si>
  <si>
    <t>Cassidy</t>
  </si>
  <si>
    <t>860-282-2230</t>
  </si>
  <si>
    <t>Belcan, LLC</t>
  </si>
  <si>
    <t>Julie</t>
  </si>
  <si>
    <t>860-370-0235</t>
  </si>
  <si>
    <t>Block of Windsor (Learning Center)</t>
  </si>
  <si>
    <t>Shiela</t>
  </si>
  <si>
    <t>860-683-2220</t>
  </si>
  <si>
    <t>Brightview Landscape</t>
  </si>
  <si>
    <t>Vaness</t>
  </si>
  <si>
    <t>860-713-8208</t>
  </si>
  <si>
    <t>Coherent</t>
  </si>
  <si>
    <t>Lisa</t>
  </si>
  <si>
    <t>860-769-3310</t>
  </si>
  <si>
    <t>Veronica</t>
  </si>
  <si>
    <t>860-408-5000</t>
  </si>
  <si>
    <t>860-408-5090</t>
  </si>
  <si>
    <t>Collins Aero</t>
  </si>
  <si>
    <t>Tammy Cole</t>
  </si>
  <si>
    <t>317-864-4695</t>
  </si>
  <si>
    <t>Melissa</t>
  </si>
  <si>
    <t>860-680-4100</t>
  </si>
  <si>
    <t>201-988-0494</t>
  </si>
  <si>
    <t>Kevin</t>
  </si>
  <si>
    <t>860-306-1536</t>
  </si>
  <si>
    <t>Lakesha</t>
  </si>
  <si>
    <t>201-407-4603</t>
  </si>
  <si>
    <t>Cooperative Systems</t>
  </si>
  <si>
    <t>Diane</t>
  </si>
  <si>
    <t>860-778-7427</t>
  </si>
  <si>
    <t>Stacy</t>
  </si>
  <si>
    <t>860-519-8382</t>
  </si>
  <si>
    <t>C &amp; S Wholesale</t>
  </si>
  <si>
    <t>860-306-5441</t>
  </si>
  <si>
    <t>Dayhill Dental</t>
  </si>
  <si>
    <t>Sarah</t>
  </si>
  <si>
    <t>860-688-5595, 860-588-5595</t>
  </si>
  <si>
    <t>Chelsea</t>
  </si>
  <si>
    <t>860-688-5595</t>
  </si>
  <si>
    <t>Family Partnership</t>
  </si>
  <si>
    <t>860-306-3090</t>
  </si>
  <si>
    <t>Fedex</t>
  </si>
  <si>
    <t>Lindsey</t>
  </si>
  <si>
    <t>516-457-6096</t>
  </si>
  <si>
    <t>Federal Credit</t>
  </si>
  <si>
    <t>Rosey</t>
  </si>
  <si>
    <t>860-978-3587</t>
  </si>
  <si>
    <t>Fiducient Advisors</t>
  </si>
  <si>
    <t>Katie, Elaine</t>
  </si>
  <si>
    <t>860-874-4572, 860-683-1187</t>
  </si>
  <si>
    <t>860-697-7471</t>
  </si>
  <si>
    <t>860-881-4276</t>
  </si>
  <si>
    <t>860-808-6125</t>
  </si>
  <si>
    <t>441-329-7325</t>
  </si>
  <si>
    <t>Janki</t>
  </si>
  <si>
    <t>860-970-7259</t>
  </si>
  <si>
    <t>Ford</t>
  </si>
  <si>
    <t>Casey</t>
  </si>
  <si>
    <t>860-688-0500</t>
  </si>
  <si>
    <t>Hamilton</t>
  </si>
  <si>
    <t>Debbie</t>
  </si>
  <si>
    <t>860-324-9167</t>
  </si>
  <si>
    <t>Hampton Inn</t>
  </si>
  <si>
    <t>John</t>
  </si>
  <si>
    <t>860-683-1118</t>
  </si>
  <si>
    <t>The Hartford</t>
  </si>
  <si>
    <t>Ramsay Scott</t>
  </si>
  <si>
    <t>860-794-9437</t>
  </si>
  <si>
    <t>Hartford Athletics</t>
  </si>
  <si>
    <t>Nate</t>
  </si>
  <si>
    <t>401-787-5611</t>
  </si>
  <si>
    <t>Indus Realty Trust</t>
  </si>
  <si>
    <t>Cheryl</t>
  </si>
  <si>
    <t>860-286-1318</t>
  </si>
  <si>
    <t>Infinity Fuel</t>
  </si>
  <si>
    <t>Darlene</t>
  </si>
  <si>
    <t>860-466-0323</t>
  </si>
  <si>
    <t>Lesro Company</t>
  </si>
  <si>
    <t>516-864-1864</t>
  </si>
  <si>
    <t>Limra</t>
  </si>
  <si>
    <t>Terri S</t>
  </si>
  <si>
    <t>860-306-7998</t>
  </si>
  <si>
    <t>Marriott Windsor</t>
  </si>
  <si>
    <t>Krsitie Lauger- Guest?</t>
  </si>
  <si>
    <t>631-455-9880</t>
  </si>
  <si>
    <t>Mass Mutual</t>
  </si>
  <si>
    <t>Gawron</t>
  </si>
  <si>
    <t>413-531-0620</t>
  </si>
  <si>
    <t>Jeff</t>
  </si>
  <si>
    <t>860-878-8442</t>
  </si>
  <si>
    <t>Lisa/Kayla</t>
  </si>
  <si>
    <t>860-856-0513</t>
  </si>
  <si>
    <t>Morris Group</t>
  </si>
  <si>
    <t>Kendra Ross</t>
  </si>
  <si>
    <t>860-748-7527</t>
  </si>
  <si>
    <t>Bryant</t>
  </si>
  <si>
    <t>612-500-1290</t>
  </si>
  <si>
    <t>NY Life &amp; Annuity</t>
  </si>
  <si>
    <t>Kim</t>
  </si>
  <si>
    <t>860-463-7575</t>
  </si>
  <si>
    <t>Otis Elevator</t>
  </si>
  <si>
    <t>Mary</t>
  </si>
  <si>
    <t>860-777-5799</t>
  </si>
  <si>
    <t>OSF Flavors</t>
  </si>
  <si>
    <t>860-298-8350</t>
  </si>
  <si>
    <t>Primary Eye</t>
  </si>
  <si>
    <t>Dina</t>
  </si>
  <si>
    <t>860-922-9230</t>
  </si>
  <si>
    <t>River Street School</t>
  </si>
  <si>
    <t>Chloe</t>
  </si>
  <si>
    <t>860-856-1339</t>
  </si>
  <si>
    <t>Ryder</t>
  </si>
  <si>
    <t>860-256-2770</t>
  </si>
  <si>
    <t>Sage Park School</t>
  </si>
  <si>
    <t>915-867-2065</t>
  </si>
  <si>
    <t>Scapa Tapes NA</t>
  </si>
  <si>
    <t>Delanie</t>
  </si>
  <si>
    <t>860-707-3193</t>
  </si>
  <si>
    <t>Bob</t>
  </si>
  <si>
    <t>860-902-8112</t>
  </si>
  <si>
    <t>SCA Pharmaceutical</t>
  </si>
  <si>
    <t>Steve</t>
  </si>
  <si>
    <t>413-386-1737</t>
  </si>
  <si>
    <t>Amy</t>
  </si>
  <si>
    <t>860-908-4821</t>
  </si>
  <si>
    <t>Jennifer</t>
  </si>
  <si>
    <t>860-716-1294</t>
  </si>
  <si>
    <t>877-550-5059</t>
  </si>
  <si>
    <t>Jill/Joanna</t>
  </si>
  <si>
    <t>860-697-3600</t>
  </si>
  <si>
    <t>860-299-4969</t>
  </si>
  <si>
    <t>Damaris</t>
  </si>
  <si>
    <t>860-994-8956</t>
  </si>
  <si>
    <t>262-490-9522</t>
  </si>
  <si>
    <t>Stephanie</t>
  </si>
  <si>
    <t>860-796-1854</t>
  </si>
  <si>
    <t>Sheraton Bradley Airport</t>
  </si>
  <si>
    <t>Dan Visser</t>
  </si>
  <si>
    <t>412-325-7225</t>
  </si>
  <si>
    <t>Sisters of Notre Dame</t>
  </si>
  <si>
    <t>860-688-1832</t>
  </si>
  <si>
    <t>Spectrum</t>
  </si>
  <si>
    <t>Connie/Doug</t>
  </si>
  <si>
    <t>860-386-6490</t>
  </si>
  <si>
    <t>SS&amp;C</t>
  </si>
  <si>
    <t>Wivina</t>
  </si>
  <si>
    <t>860-938-9085</t>
  </si>
  <si>
    <t>Deanna</t>
  </si>
  <si>
    <t>860-268-1148</t>
  </si>
  <si>
    <t>Karen Zaffanella</t>
  </si>
  <si>
    <t>646-703-2522</t>
  </si>
  <si>
    <t>Brian Drew</t>
  </si>
  <si>
    <t>617-459-3244</t>
  </si>
  <si>
    <t>Sonia Portela</t>
  </si>
  <si>
    <t>413-272-8554</t>
  </si>
  <si>
    <t>Fatnama?</t>
  </si>
  <si>
    <t>860-593-0996</t>
  </si>
  <si>
    <t>917-494-7130</t>
  </si>
  <si>
    <t>Talcott Resolution</t>
  </si>
  <si>
    <t>Brenda</t>
  </si>
  <si>
    <t>860-463-3151</t>
  </si>
  <si>
    <t>Travelers</t>
  </si>
  <si>
    <t>Sherry</t>
  </si>
  <si>
    <t>860-687-7416</t>
  </si>
  <si>
    <t>TRC Environmental Corp</t>
  </si>
  <si>
    <t>Marya Mahoney</t>
  </si>
  <si>
    <t>860-280-4216</t>
  </si>
  <si>
    <t>Janice</t>
  </si>
  <si>
    <t>205-354-3419</t>
  </si>
  <si>
    <t>Jess</t>
  </si>
  <si>
    <t>774-327-8807</t>
  </si>
  <si>
    <t>Turbine Controls</t>
  </si>
  <si>
    <t>Brittany</t>
  </si>
  <si>
    <t>860-335-7621</t>
  </si>
  <si>
    <t>Triumph</t>
  </si>
  <si>
    <t>Phil</t>
  </si>
  <si>
    <t>860-462-3141</t>
  </si>
  <si>
    <t>Voya</t>
  </si>
  <si>
    <t>Teresa</t>
  </si>
  <si>
    <t>860-234-1068</t>
  </si>
  <si>
    <t>Lori</t>
  </si>
  <si>
    <t>860-803-6371</t>
  </si>
  <si>
    <t>Michelle</t>
  </si>
  <si>
    <t>860-463-7931</t>
  </si>
  <si>
    <t>Melinda Kelly</t>
  </si>
  <si>
    <t>860-997-1947</t>
  </si>
  <si>
    <t>Sandy</t>
  </si>
  <si>
    <t>203-682-5335</t>
  </si>
  <si>
    <t>Karen Morawski</t>
  </si>
  <si>
    <t>860-882-3140</t>
  </si>
  <si>
    <t>Donna</t>
  </si>
  <si>
    <t>860-416-5110</t>
  </si>
  <si>
    <t>508-769-3296</t>
  </si>
  <si>
    <t>Jackie</t>
  </si>
  <si>
    <t>860-876-9326</t>
  </si>
  <si>
    <t>Michelle Walsh</t>
  </si>
  <si>
    <t>781-706-3872</t>
  </si>
  <si>
    <t>Higgins</t>
  </si>
  <si>
    <t>860-428-1091</t>
  </si>
  <si>
    <t>617-680-1802</t>
  </si>
  <si>
    <t>Christine</t>
  </si>
  <si>
    <t>515-577-6904</t>
  </si>
  <si>
    <t>Kathy</t>
  </si>
  <si>
    <t>413-575-0836</t>
  </si>
  <si>
    <t>Ryan</t>
  </si>
  <si>
    <t>281.635.6360</t>
  </si>
  <si>
    <t>860-690-65969</t>
  </si>
  <si>
    <t>WCD (World Class Distribution) Trader Joe's</t>
  </si>
  <si>
    <t>Linda</t>
  </si>
  <si>
    <t>860-200-9001</t>
  </si>
  <si>
    <t>Christina</t>
  </si>
  <si>
    <t>860-710-9256</t>
  </si>
  <si>
    <t>Rios Xiomara</t>
  </si>
  <si>
    <t>860-9699-8860</t>
  </si>
  <si>
    <t>Waste Management</t>
  </si>
  <si>
    <t>Melvin</t>
  </si>
  <si>
    <t>860-816-6124</t>
  </si>
  <si>
    <t>Wells Park</t>
  </si>
  <si>
    <t>860-977-5591</t>
  </si>
  <si>
    <t>Windsor Social Services</t>
  </si>
  <si>
    <t>860-944-1485</t>
  </si>
  <si>
    <t>Weekly Total</t>
  </si>
  <si>
    <t>???</t>
  </si>
  <si>
    <t>Michael Kantor 5/19/23 262.11</t>
  </si>
  <si>
    <t>Cherry Coley 914-843-3293  5/19 $1331.04</t>
  </si>
  <si>
    <t>Allen 6/2 - $410.08</t>
  </si>
  <si>
    <t>Michael - 6/8  508-386-5000  $334.96</t>
  </si>
  <si>
    <t>Eaton Corp?</t>
  </si>
  <si>
    <t>Darline Grider 6/8 - 860-543-2543  $294.15</t>
  </si>
  <si>
    <t xml:space="preserve">  </t>
  </si>
  <si>
    <t>??  Ray  1095 Kennedy Rd</t>
  </si>
  <si>
    <t>860-688.0860</t>
  </si>
  <si>
    <t>?? Amy  30 Baker Hollow Rd</t>
  </si>
  <si>
    <t>847-361-4640</t>
  </si>
  <si>
    <t xml:space="preserve">Sharon? </t>
  </si>
  <si>
    <t>860-697-3398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</si>
</sst>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252525"/>
      <name val="Calibri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44" fontId="3" fillId="0" borderId="0" xfId="2" applyFont="1"/>
    <xf numFmtId="0" fontId="2" fillId="0" borderId="1" xfId="0" applyFont="1" applyBorder="1"/>
    <xf numFmtId="0" fontId="3" fillId="0" borderId="1" xfId="0" applyFont="1" applyBorder="1"/>
    <xf numFmtId="14" fontId="3" fillId="0" borderId="1" xfId="0" applyNumberFormat="1" applyFont="1" applyBorder="1"/>
    <xf numFmtId="44" fontId="3" fillId="0" borderId="1" xfId="2" applyFont="1" applyBorder="1"/>
    <xf numFmtId="43" fontId="3" fillId="0" borderId="0" xfId="1" applyFont="1"/>
    <xf numFmtId="0" fontId="2" fillId="0" borderId="0" xfId="0" applyFont="1"/>
    <xf numFmtId="0" fontId="3" fillId="0" borderId="2" xfId="0" applyFont="1" applyBorder="1"/>
    <xf numFmtId="44" fontId="3" fillId="0" borderId="2" xfId="2" applyFont="1" applyBorder="1"/>
    <xf numFmtId="43" fontId="3" fillId="0" borderId="2" xfId="1" applyFont="1" applyBorder="1"/>
    <xf numFmtId="44" fontId="3" fillId="0" borderId="0" xfId="0" applyNumberFormat="1" applyFont="1"/>
    <xf numFmtId="44" fontId="3" fillId="0" borderId="0" xfId="2" applyFont="1" applyBorder="1" applyAlignment="1">
      <alignment horizontal="center"/>
    </xf>
    <xf numFmtId="0" fontId="2" fillId="0" borderId="2" xfId="0" applyFont="1" applyBorder="1"/>
    <xf numFmtId="44" fontId="3" fillId="0" borderId="2" xfId="2" applyFont="1" applyBorder="1" applyAlignment="1">
      <alignment horizontal="center"/>
    </xf>
    <xf numFmtId="44" fontId="3" fillId="0" borderId="0" xfId="2" applyFont="1" applyBorder="1"/>
    <xf numFmtId="44" fontId="3" fillId="0" borderId="2" xfId="0" applyNumberFormat="1" applyFont="1" applyBorder="1"/>
    <xf numFmtId="43" fontId="3" fillId="0" borderId="0" xfId="1" applyFont="1" applyBorder="1"/>
    <xf numFmtId="0" fontId="2" fillId="0" borderId="3" xfId="0" applyFont="1" applyBorder="1"/>
    <xf numFmtId="0" fontId="3" fillId="0" borderId="3" xfId="0" applyFont="1" applyBorder="1"/>
    <xf numFmtId="44" fontId="3" fillId="0" borderId="3" xfId="2" applyFont="1" applyBorder="1"/>
    <xf numFmtId="43" fontId="3" fillId="0" borderId="3" xfId="1" applyFont="1" applyBorder="1"/>
    <xf numFmtId="0" fontId="4" fillId="0" borderId="0" xfId="0" applyFont="1"/>
    <xf numFmtId="0" fontId="4" fillId="0" borderId="2" xfId="0" applyFont="1" applyBorder="1"/>
    <xf numFmtId="0" fontId="5" fillId="0" borderId="4" xfId="0" applyFont="1" applyBorder="1"/>
    <xf numFmtId="0" fontId="3" fillId="0" borderId="5" xfId="0" applyFont="1" applyBorder="1"/>
    <xf numFmtId="44" fontId="3" fillId="0" borderId="5" xfId="2" applyFont="1" applyBorder="1"/>
    <xf numFmtId="43" fontId="3" fillId="0" borderId="5" xfId="1" applyFont="1" applyBorder="1"/>
    <xf numFmtId="16" fontId="3" fillId="0" borderId="0" xfId="0" applyNumberFormat="1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10352-9E66-482D-BDB4-589A3B8BF3E9}">
  <dimension ref="A1:DD581"/>
  <sheetViews>
    <sheetView tabSelected="1" workbookViewId="0">
      <selection activeCell="A7" sqref="A7"/>
    </sheetView>
  </sheetViews>
  <sheetFormatPr defaultColWidth="9.109375" defaultRowHeight="13.8" x14ac:dyDescent="0.3"/>
  <cols>
    <col min="1" max="1" width="36.6640625" style="2" bestFit="1" customWidth="1"/>
    <col min="2" max="2" width="18.33203125" style="2" bestFit="1" customWidth="1"/>
    <col min="3" max="3" width="25.44140625" style="2" customWidth="1"/>
    <col min="4" max="4" width="14" style="2" customWidth="1"/>
    <col min="5" max="5" width="11" style="2" bestFit="1" customWidth="1"/>
    <col min="6" max="6" width="12" style="2" bestFit="1" customWidth="1"/>
    <col min="7" max="7" width="9.88671875" style="2" bestFit="1" customWidth="1"/>
    <col min="8" max="9" width="9.109375" style="2"/>
    <col min="10" max="11" width="10" style="2" bestFit="1" customWidth="1"/>
    <col min="12" max="12" width="10.109375" style="2" bestFit="1" customWidth="1"/>
    <col min="13" max="17" width="10" style="2" bestFit="1" customWidth="1"/>
    <col min="18" max="18" width="9.6640625" style="2" bestFit="1" customWidth="1"/>
    <col min="19" max="19" width="10.109375" style="2" bestFit="1" customWidth="1"/>
    <col min="20" max="22" width="9.6640625" style="2" bestFit="1" customWidth="1"/>
    <col min="23" max="23" width="10" style="2" bestFit="1" customWidth="1"/>
    <col min="24" max="24" width="9.6640625" style="2" bestFit="1" customWidth="1"/>
    <col min="25" max="25" width="10" style="2" bestFit="1" customWidth="1"/>
    <col min="26" max="26" width="10.109375" style="2" bestFit="1" customWidth="1"/>
    <col min="27" max="30" width="10" style="2" bestFit="1" customWidth="1"/>
    <col min="31" max="31" width="9.6640625" style="2" bestFit="1" customWidth="1"/>
    <col min="32" max="33" width="10" style="2" bestFit="1" customWidth="1"/>
    <col min="34" max="34" width="10.5546875" style="2" customWidth="1"/>
    <col min="35" max="35" width="10" style="2" bestFit="1" customWidth="1"/>
    <col min="36" max="36" width="9.109375" style="2"/>
    <col min="37" max="37" width="10" style="2" bestFit="1" customWidth="1"/>
    <col min="38" max="38" width="10.109375" style="3" bestFit="1" customWidth="1"/>
    <col min="39" max="39" width="10" style="3" bestFit="1" customWidth="1"/>
    <col min="40" max="40" width="9.33203125" style="3" bestFit="1" customWidth="1"/>
    <col min="41" max="41" width="10.44140625" style="3" bestFit="1" customWidth="1"/>
    <col min="42" max="42" width="10.33203125" style="3" bestFit="1" customWidth="1"/>
    <col min="43" max="44" width="10" style="3" bestFit="1" customWidth="1"/>
    <col min="45" max="45" width="11.88671875" style="3" customWidth="1"/>
    <col min="46" max="46" width="11.6640625" style="3" customWidth="1"/>
    <col min="47" max="47" width="11.44140625" style="3" customWidth="1"/>
    <col min="48" max="48" width="11.33203125" style="3" bestFit="1" customWidth="1"/>
    <col min="49" max="49" width="11.109375" style="3" customWidth="1"/>
    <col min="50" max="50" width="12" style="2" customWidth="1"/>
    <col min="51" max="51" width="11.88671875" style="2" customWidth="1"/>
    <col min="52" max="52" width="11.109375" style="2" customWidth="1"/>
    <col min="53" max="53" width="10" style="2" bestFit="1" customWidth="1"/>
    <col min="54" max="54" width="11.109375" style="2" customWidth="1"/>
    <col min="55" max="55" width="12.33203125" style="2" customWidth="1"/>
    <col min="56" max="56" width="10.44140625" style="2" customWidth="1"/>
    <col min="57" max="16384" width="9.109375" style="2"/>
  </cols>
  <sheetData>
    <row r="1" spans="1:108" x14ac:dyDescent="0.3">
      <c r="A1" s="1">
        <v>2023</v>
      </c>
    </row>
    <row r="3" spans="1:108" x14ac:dyDescent="0.3">
      <c r="E3" s="2" t="s">
        <v>0</v>
      </c>
      <c r="F3" s="2" t="s">
        <v>1</v>
      </c>
      <c r="G3" s="2" t="s">
        <v>2</v>
      </c>
      <c r="H3" s="2" t="s">
        <v>3</v>
      </c>
      <c r="I3" s="2" t="s">
        <v>4</v>
      </c>
      <c r="J3" s="2" t="s">
        <v>5</v>
      </c>
      <c r="K3" s="2" t="s">
        <v>6</v>
      </c>
      <c r="L3" s="2" t="s">
        <v>7</v>
      </c>
      <c r="M3" s="2" t="s">
        <v>8</v>
      </c>
      <c r="N3" s="2" t="s">
        <v>9</v>
      </c>
      <c r="O3" s="2" t="s">
        <v>10</v>
      </c>
      <c r="P3" s="2" t="s">
        <v>11</v>
      </c>
      <c r="Q3" s="2" t="s">
        <v>12</v>
      </c>
      <c r="R3" s="2" t="s">
        <v>13</v>
      </c>
      <c r="S3" s="2" t="s">
        <v>14</v>
      </c>
      <c r="T3" s="2" t="s">
        <v>15</v>
      </c>
      <c r="U3" s="2" t="s">
        <v>16</v>
      </c>
      <c r="V3" s="2" t="s">
        <v>17</v>
      </c>
      <c r="W3" s="2" t="s">
        <v>18</v>
      </c>
      <c r="X3" s="2" t="s">
        <v>19</v>
      </c>
      <c r="Y3" s="2" t="s">
        <v>20</v>
      </c>
      <c r="Z3" s="2" t="s">
        <v>21</v>
      </c>
      <c r="AA3" s="2" t="s">
        <v>22</v>
      </c>
      <c r="AB3" s="2" t="s">
        <v>23</v>
      </c>
      <c r="AC3" s="2" t="s">
        <v>24</v>
      </c>
      <c r="AD3" s="2" t="s">
        <v>25</v>
      </c>
      <c r="AE3" s="2" t="s">
        <v>26</v>
      </c>
      <c r="AF3" s="2" t="s">
        <v>27</v>
      </c>
      <c r="AG3" s="2" t="s">
        <v>28</v>
      </c>
      <c r="AH3" s="2" t="s">
        <v>29</v>
      </c>
      <c r="AI3" s="2" t="s">
        <v>30</v>
      </c>
      <c r="AJ3" s="2" t="s">
        <v>31</v>
      </c>
      <c r="AK3" s="2" t="s">
        <v>32</v>
      </c>
      <c r="AL3" s="3" t="s">
        <v>33</v>
      </c>
      <c r="AM3" s="3" t="s">
        <v>34</v>
      </c>
      <c r="AN3" s="3" t="s">
        <v>35</v>
      </c>
      <c r="AO3" s="3" t="s">
        <v>36</v>
      </c>
      <c r="AP3" s="3" t="s">
        <v>37</v>
      </c>
      <c r="AQ3" s="3" t="s">
        <v>38</v>
      </c>
      <c r="AR3" s="3" t="s">
        <v>39</v>
      </c>
      <c r="AS3" s="3" t="s">
        <v>40</v>
      </c>
      <c r="AT3" s="3" t="s">
        <v>41</v>
      </c>
      <c r="AU3" s="3" t="s">
        <v>42</v>
      </c>
      <c r="AV3" s="3" t="s">
        <v>43</v>
      </c>
      <c r="AW3" s="3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</row>
    <row r="4" spans="1:108" s="5" customFormat="1" ht="14.4" thickBot="1" x14ac:dyDescent="0.35">
      <c r="A4" s="4" t="s">
        <v>52</v>
      </c>
      <c r="B4" s="4" t="s">
        <v>53</v>
      </c>
      <c r="C4" s="4" t="s">
        <v>54</v>
      </c>
      <c r="D4" s="5" t="s">
        <v>55</v>
      </c>
      <c r="E4" s="6" t="s">
        <v>56</v>
      </c>
      <c r="F4" s="6" t="s">
        <v>57</v>
      </c>
      <c r="G4" s="6" t="s">
        <v>58</v>
      </c>
      <c r="H4" s="6" t="s">
        <v>59</v>
      </c>
      <c r="I4" s="6" t="s">
        <v>60</v>
      </c>
      <c r="J4" s="6" t="s">
        <v>61</v>
      </c>
      <c r="K4" s="6" t="s">
        <v>62</v>
      </c>
      <c r="L4" s="6" t="s">
        <v>63</v>
      </c>
      <c r="M4" s="6" t="s">
        <v>64</v>
      </c>
      <c r="N4" s="6" t="s">
        <v>65</v>
      </c>
      <c r="O4" s="6" t="s">
        <v>66</v>
      </c>
      <c r="P4" s="6" t="s">
        <v>67</v>
      </c>
      <c r="Q4" s="6" t="s">
        <v>68</v>
      </c>
      <c r="R4" s="6" t="s">
        <v>69</v>
      </c>
      <c r="S4" s="6" t="s">
        <v>70</v>
      </c>
      <c r="T4" s="6" t="s">
        <v>71</v>
      </c>
      <c r="U4" s="6" t="s">
        <v>72</v>
      </c>
      <c r="V4" s="6" t="s">
        <v>73</v>
      </c>
      <c r="W4" s="6" t="s">
        <v>74</v>
      </c>
      <c r="X4" s="6" t="s">
        <v>75</v>
      </c>
      <c r="Y4" s="6" t="s">
        <v>76</v>
      </c>
      <c r="Z4" s="6" t="s">
        <v>77</v>
      </c>
      <c r="AA4" s="6" t="s">
        <v>78</v>
      </c>
      <c r="AB4" s="6" t="s">
        <v>79</v>
      </c>
      <c r="AC4" s="6" t="s">
        <v>80</v>
      </c>
      <c r="AD4" s="6" t="s">
        <v>81</v>
      </c>
      <c r="AE4" s="6" t="s">
        <v>82</v>
      </c>
      <c r="AF4" s="6" t="s">
        <v>83</v>
      </c>
      <c r="AG4" s="6" t="s">
        <v>84</v>
      </c>
      <c r="AH4" s="6" t="s">
        <v>85</v>
      </c>
      <c r="AI4" s="5" t="s">
        <v>86</v>
      </c>
      <c r="AJ4" s="5" t="s">
        <v>87</v>
      </c>
      <c r="AK4" s="5" t="s">
        <v>88</v>
      </c>
      <c r="AL4" s="7" t="s">
        <v>89</v>
      </c>
      <c r="AM4" s="7" t="s">
        <v>90</v>
      </c>
      <c r="AN4" s="7" t="s">
        <v>91</v>
      </c>
      <c r="AO4" s="7" t="s">
        <v>92</v>
      </c>
      <c r="AP4" s="7" t="s">
        <v>93</v>
      </c>
      <c r="AQ4" s="7" t="s">
        <v>94</v>
      </c>
      <c r="AR4" s="7" t="s">
        <v>95</v>
      </c>
      <c r="AS4" s="7" t="s">
        <v>96</v>
      </c>
      <c r="AT4" s="7" t="s">
        <v>97</v>
      </c>
      <c r="AU4" s="7" t="s">
        <v>98</v>
      </c>
      <c r="AV4" s="7" t="s">
        <v>99</v>
      </c>
      <c r="AW4" s="7" t="s">
        <v>100</v>
      </c>
      <c r="AX4" s="5" t="s">
        <v>101</v>
      </c>
      <c r="AY4" s="5" t="s">
        <v>102</v>
      </c>
      <c r="AZ4" s="5" t="s">
        <v>103</v>
      </c>
      <c r="BA4" s="5" t="s">
        <v>104</v>
      </c>
      <c r="BB4" s="5" t="s">
        <v>105</v>
      </c>
      <c r="BC4" s="5" t="s">
        <v>106</v>
      </c>
      <c r="BD4" s="5" t="s">
        <v>107</v>
      </c>
    </row>
    <row r="5" spans="1:108" x14ac:dyDescent="0.3">
      <c r="AY5" s="3"/>
      <c r="AZ5" s="3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</row>
    <row r="6" spans="1:108" x14ac:dyDescent="0.3">
      <c r="A6" s="9" t="s">
        <v>108</v>
      </c>
      <c r="B6" s="2" t="s">
        <v>109</v>
      </c>
      <c r="C6" s="2" t="s">
        <v>110</v>
      </c>
      <c r="D6" s="3">
        <f>SUM(E6:BD6)</f>
        <v>191.95</v>
      </c>
      <c r="T6" s="3">
        <v>191.95</v>
      </c>
      <c r="AY6" s="3"/>
      <c r="AZ6" s="3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</row>
    <row r="7" spans="1:108" x14ac:dyDescent="0.3">
      <c r="A7" s="9"/>
      <c r="B7" s="2" t="s">
        <v>111</v>
      </c>
      <c r="C7" s="2" t="s">
        <v>112</v>
      </c>
      <c r="D7" s="3">
        <f>SUM(E7:BD7)</f>
        <v>432.38</v>
      </c>
      <c r="T7" s="3"/>
      <c r="AA7" s="3">
        <v>128.22999999999999</v>
      </c>
      <c r="AR7" s="3">
        <v>304.14999999999998</v>
      </c>
      <c r="AY7" s="3"/>
      <c r="AZ7" s="3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</row>
    <row r="8" spans="1:108" s="10" customFormat="1" x14ac:dyDescent="0.3"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Y8" s="11"/>
      <c r="AZ8" s="11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</row>
    <row r="9" spans="1:108" x14ac:dyDescent="0.3">
      <c r="A9" s="9" t="s">
        <v>113</v>
      </c>
      <c r="B9" s="2" t="s">
        <v>114</v>
      </c>
      <c r="C9" s="2" t="s">
        <v>115</v>
      </c>
      <c r="D9" s="3">
        <f>SUM(E9:BD9)</f>
        <v>818.82999999999993</v>
      </c>
      <c r="M9" s="3"/>
      <c r="N9" s="3">
        <v>138.82</v>
      </c>
      <c r="O9" s="3"/>
      <c r="P9" s="3">
        <v>122.72</v>
      </c>
      <c r="Q9" s="3"/>
      <c r="R9" s="3"/>
      <c r="S9" s="3"/>
      <c r="T9" s="3"/>
      <c r="U9" s="3"/>
      <c r="V9" s="3">
        <v>291.79000000000002</v>
      </c>
      <c r="W9" s="3"/>
      <c r="X9" s="3"/>
      <c r="AM9" s="3">
        <v>265.5</v>
      </c>
      <c r="AY9" s="3"/>
      <c r="AZ9" s="3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</row>
    <row r="10" spans="1:108" x14ac:dyDescent="0.3">
      <c r="A10" s="9"/>
      <c r="C10" s="2" t="s">
        <v>116</v>
      </c>
      <c r="D10" s="3">
        <f>SUM(E10:BD10)</f>
        <v>164.2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Q10" s="3">
        <v>164.2</v>
      </c>
      <c r="AY10" s="3"/>
      <c r="AZ10" s="3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</row>
    <row r="11" spans="1:108" s="10" customFormat="1" x14ac:dyDescent="0.3"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Y11" s="11"/>
      <c r="AZ11" s="11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</row>
    <row r="12" spans="1:108" x14ac:dyDescent="0.3">
      <c r="A12" s="9" t="s">
        <v>117</v>
      </c>
      <c r="B12" s="2" t="s">
        <v>118</v>
      </c>
      <c r="C12" s="2" t="s">
        <v>119</v>
      </c>
      <c r="D12" s="13">
        <f>SUM(E12:BD12)</f>
        <v>90.3</v>
      </c>
      <c r="E12" s="3"/>
      <c r="F12" s="3" t="s">
        <v>120</v>
      </c>
      <c r="G12" s="14" t="s">
        <v>120</v>
      </c>
      <c r="H12" s="3"/>
      <c r="I12" s="3">
        <v>90.3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Y12" s="3"/>
      <c r="AZ12" s="3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</row>
    <row r="13" spans="1:108" x14ac:dyDescent="0.3">
      <c r="A13" s="9"/>
      <c r="B13" s="2" t="s">
        <v>121</v>
      </c>
      <c r="C13" s="2" t="s">
        <v>122</v>
      </c>
      <c r="D13" s="13">
        <f t="shared" ref="D13:D17" si="0">SUM(E13:BD13)</f>
        <v>305.27</v>
      </c>
      <c r="E13" s="3"/>
      <c r="F13" s="3"/>
      <c r="G13" s="1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>
        <v>305.27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Y13" s="3"/>
      <c r="AZ13" s="3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</row>
    <row r="14" spans="1:108" x14ac:dyDescent="0.3">
      <c r="A14" s="9"/>
      <c r="C14" s="2" t="s">
        <v>123</v>
      </c>
      <c r="D14" s="13">
        <f t="shared" si="0"/>
        <v>55.09</v>
      </c>
      <c r="E14" s="3"/>
      <c r="F14" s="3"/>
      <c r="G14" s="1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>
        <v>55.09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Y14" s="3"/>
      <c r="AZ14" s="3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</row>
    <row r="15" spans="1:108" x14ac:dyDescent="0.3">
      <c r="A15" s="9"/>
      <c r="B15" s="2" t="s">
        <v>124</v>
      </c>
      <c r="C15" s="2" t="s">
        <v>125</v>
      </c>
      <c r="D15" s="13">
        <f t="shared" si="0"/>
        <v>3393.0299999999997</v>
      </c>
      <c r="E15" s="3"/>
      <c r="F15" s="3"/>
      <c r="G15" s="1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>
        <v>177.12</v>
      </c>
      <c r="Z15" s="3"/>
      <c r="AA15" s="3"/>
      <c r="AB15" s="3"/>
      <c r="AC15" s="3"/>
      <c r="AD15" s="3"/>
      <c r="AE15" s="3"/>
      <c r="AF15" s="3"/>
      <c r="AG15" s="3"/>
      <c r="AH15" s="3">
        <f>119.82+174.76+156.46</f>
        <v>451.03999999999996</v>
      </c>
      <c r="AI15" s="3"/>
      <c r="AJ15" s="3"/>
      <c r="AK15" s="3"/>
      <c r="AR15" s="3">
        <v>1443.4</v>
      </c>
      <c r="AU15" s="3">
        <v>254.47</v>
      </c>
      <c r="AY15" s="3"/>
      <c r="AZ15" s="3">
        <v>1067</v>
      </c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</row>
    <row r="16" spans="1:108" x14ac:dyDescent="0.3">
      <c r="A16" s="9"/>
      <c r="B16" s="2" t="s">
        <v>126</v>
      </c>
      <c r="C16" s="2" t="s">
        <v>127</v>
      </c>
      <c r="D16" s="13">
        <f t="shared" si="0"/>
        <v>88.03</v>
      </c>
      <c r="E16" s="3"/>
      <c r="F16" s="3"/>
      <c r="G16" s="1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>
        <v>88.03</v>
      </c>
      <c r="AD16" s="3"/>
      <c r="AE16" s="3"/>
      <c r="AF16" s="3"/>
      <c r="AG16" s="3"/>
      <c r="AH16" s="3"/>
      <c r="AI16" s="3"/>
      <c r="AJ16" s="3"/>
      <c r="AK16" s="3"/>
      <c r="AY16" s="3"/>
      <c r="AZ16" s="3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</row>
    <row r="17" spans="1:108" x14ac:dyDescent="0.3">
      <c r="A17" s="9"/>
      <c r="B17" s="2" t="s">
        <v>128</v>
      </c>
      <c r="C17" s="2" t="s">
        <v>129</v>
      </c>
      <c r="D17" s="13">
        <f t="shared" si="0"/>
        <v>90.18</v>
      </c>
      <c r="E17" s="3"/>
      <c r="F17" s="3"/>
      <c r="G17" s="1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>
        <v>90.18</v>
      </c>
      <c r="AK17" s="3"/>
      <c r="AY17" s="3"/>
      <c r="AZ17" s="3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</row>
    <row r="18" spans="1:108" s="10" customFormat="1" x14ac:dyDescent="0.3">
      <c r="A18" s="15"/>
      <c r="C18" s="10" t="s">
        <v>120</v>
      </c>
      <c r="E18" s="11"/>
      <c r="F18" s="11"/>
      <c r="G18" s="16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>
        <v>129.37</v>
      </c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Y18" s="11"/>
      <c r="AZ18" s="11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</row>
    <row r="19" spans="1:108" x14ac:dyDescent="0.3">
      <c r="A19" s="9" t="s">
        <v>130</v>
      </c>
      <c r="B19" s="2" t="s">
        <v>131</v>
      </c>
      <c r="C19" s="2" t="s">
        <v>132</v>
      </c>
      <c r="D19" s="13">
        <f>SUM(E19:BD19)</f>
        <v>125.94</v>
      </c>
      <c r="E19" s="17"/>
      <c r="F19" s="17"/>
      <c r="G19" s="14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>
        <v>125.94</v>
      </c>
      <c r="AU19" s="17"/>
      <c r="AV19" s="17"/>
      <c r="AW19" s="17"/>
      <c r="AY19" s="3"/>
      <c r="AZ19" s="3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</row>
    <row r="20" spans="1:108" s="10" customFormat="1" x14ac:dyDescent="0.3">
      <c r="A20" s="15"/>
      <c r="D20" s="18" t="s">
        <v>120</v>
      </c>
      <c r="E20" s="11"/>
      <c r="F20" s="11"/>
      <c r="G20" s="16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</row>
    <row r="21" spans="1:108" x14ac:dyDescent="0.3">
      <c r="A21" s="9" t="s">
        <v>133</v>
      </c>
      <c r="B21" s="2" t="s">
        <v>134</v>
      </c>
      <c r="C21" s="2" t="s">
        <v>135</v>
      </c>
      <c r="D21" s="13">
        <f t="shared" ref="D21:D83" si="1">SUM(E21:BD21)</f>
        <v>428.03</v>
      </c>
      <c r="E21" s="17"/>
      <c r="F21" s="17"/>
      <c r="G21" s="14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>
        <v>428.03</v>
      </c>
      <c r="AL21" s="17"/>
      <c r="AM21" s="17"/>
      <c r="AX21" s="3"/>
      <c r="AY21" s="3"/>
      <c r="AZ21" s="3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</row>
    <row r="22" spans="1:108" s="10" customFormat="1" x14ac:dyDescent="0.3">
      <c r="A22" s="15"/>
      <c r="D22" s="18" t="s">
        <v>120</v>
      </c>
      <c r="E22" s="11"/>
      <c r="F22" s="11"/>
      <c r="G22" s="16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</row>
    <row r="23" spans="1:108" x14ac:dyDescent="0.3">
      <c r="A23" s="9" t="s">
        <v>136</v>
      </c>
      <c r="B23" s="2" t="s">
        <v>137</v>
      </c>
      <c r="C23" s="2" t="s">
        <v>138</v>
      </c>
      <c r="D23" s="13">
        <f t="shared" si="1"/>
        <v>684.69999999999993</v>
      </c>
      <c r="E23" s="3"/>
      <c r="F23" s="3"/>
      <c r="G23" s="14"/>
      <c r="H23" s="3"/>
      <c r="I23" s="3"/>
      <c r="J23" s="3"/>
      <c r="K23" s="3"/>
      <c r="L23" s="3">
        <v>124.87</v>
      </c>
      <c r="M23" s="3"/>
      <c r="N23" s="3"/>
      <c r="O23" s="3"/>
      <c r="P23" s="3"/>
      <c r="Q23" s="3"/>
      <c r="R23" s="3"/>
      <c r="S23" s="3"/>
      <c r="T23" s="17">
        <v>92.67</v>
      </c>
      <c r="U23" s="3"/>
      <c r="V23" s="3"/>
      <c r="W23" s="17">
        <v>91.06</v>
      </c>
      <c r="X23" s="3"/>
      <c r="Y23" s="3"/>
      <c r="Z23" s="3"/>
      <c r="AA23" s="3"/>
      <c r="AB23" s="3"/>
      <c r="AC23" s="3"/>
      <c r="AD23" s="3">
        <v>102.41</v>
      </c>
      <c r="AE23" s="3"/>
      <c r="AF23" s="3"/>
      <c r="AG23" s="3"/>
      <c r="AH23" s="3"/>
      <c r="AI23" s="3"/>
      <c r="AJ23" s="3"/>
      <c r="AK23" s="3"/>
      <c r="AO23" s="3">
        <f>100.17+95.89</f>
        <v>196.06</v>
      </c>
      <c r="AT23" s="3">
        <v>77.63</v>
      </c>
      <c r="AX23" s="3"/>
      <c r="AY23" s="3"/>
      <c r="AZ23" s="3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</row>
    <row r="24" spans="1:108" s="10" customFormat="1" x14ac:dyDescent="0.3">
      <c r="A24" s="15"/>
      <c r="D24" s="18" t="s">
        <v>120</v>
      </c>
      <c r="E24" s="11"/>
      <c r="F24" s="11"/>
      <c r="G24" s="16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</row>
    <row r="25" spans="1:108" x14ac:dyDescent="0.3">
      <c r="A25" s="9" t="s">
        <v>139</v>
      </c>
      <c r="B25" s="2" t="s">
        <v>140</v>
      </c>
      <c r="C25" s="2" t="s">
        <v>141</v>
      </c>
      <c r="D25" s="13">
        <f t="shared" si="1"/>
        <v>100.54</v>
      </c>
      <c r="E25" s="17"/>
      <c r="F25" s="17"/>
      <c r="G25" s="14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>
        <v>100.54</v>
      </c>
      <c r="AL25" s="17"/>
      <c r="AM25" s="17"/>
      <c r="AX25" s="3"/>
      <c r="AY25" s="3"/>
      <c r="AZ25" s="3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</row>
    <row r="26" spans="1:108" s="10" customFormat="1" x14ac:dyDescent="0.3">
      <c r="A26" s="15"/>
      <c r="D26" s="18" t="s">
        <v>120</v>
      </c>
      <c r="E26" s="11"/>
      <c r="F26" s="11"/>
      <c r="G26" s="16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</row>
    <row r="27" spans="1:108" x14ac:dyDescent="0.3">
      <c r="A27" s="9" t="s">
        <v>142</v>
      </c>
      <c r="B27" s="2" t="s">
        <v>143</v>
      </c>
      <c r="C27" s="2" t="s">
        <v>144</v>
      </c>
      <c r="D27" s="13">
        <f t="shared" si="1"/>
        <v>596.41999999999996</v>
      </c>
      <c r="E27" s="3"/>
      <c r="F27" s="3"/>
      <c r="G27" s="14"/>
      <c r="H27" s="3"/>
      <c r="I27" s="3"/>
      <c r="J27" s="3"/>
      <c r="K27" s="3"/>
      <c r="L27" s="3"/>
      <c r="M27" s="3">
        <v>441.84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X27" s="3"/>
      <c r="AY27" s="3"/>
      <c r="AZ27" s="3"/>
      <c r="BA27" s="8"/>
      <c r="BB27" s="8"/>
      <c r="BC27" s="3">
        <v>154.58000000000001</v>
      </c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</row>
    <row r="28" spans="1:108" s="10" customFormat="1" x14ac:dyDescent="0.3">
      <c r="A28" s="15"/>
      <c r="D28" s="18" t="s">
        <v>120</v>
      </c>
      <c r="E28" s="11"/>
      <c r="F28" s="11"/>
      <c r="G28" s="16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</row>
    <row r="29" spans="1:108" x14ac:dyDescent="0.3">
      <c r="A29" s="9" t="s">
        <v>145</v>
      </c>
      <c r="B29" s="2" t="s">
        <v>146</v>
      </c>
      <c r="C29" s="2" t="s">
        <v>147</v>
      </c>
      <c r="D29" s="13">
        <f t="shared" si="1"/>
        <v>426.4</v>
      </c>
      <c r="E29" s="17"/>
      <c r="F29" s="17"/>
      <c r="G29" s="14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>
        <v>426.4</v>
      </c>
      <c r="AY29" s="3"/>
      <c r="AZ29" s="3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</row>
    <row r="30" spans="1:108" s="10" customFormat="1" x14ac:dyDescent="0.3">
      <c r="A30" s="15"/>
      <c r="D30" s="18" t="s">
        <v>120</v>
      </c>
      <c r="E30" s="11"/>
      <c r="F30" s="11"/>
      <c r="G30" s="16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</row>
    <row r="31" spans="1:108" x14ac:dyDescent="0.3">
      <c r="A31" s="9" t="s">
        <v>148</v>
      </c>
      <c r="B31" s="2" t="s">
        <v>149</v>
      </c>
      <c r="C31" s="2" t="s">
        <v>150</v>
      </c>
      <c r="D31" s="13">
        <f t="shared" si="1"/>
        <v>11009.490000000002</v>
      </c>
      <c r="E31" s="17"/>
      <c r="F31" s="17"/>
      <c r="G31" s="14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>
        <v>313.8</v>
      </c>
      <c r="U31" s="17"/>
      <c r="V31" s="17"/>
      <c r="W31" s="17"/>
      <c r="X31" s="17"/>
      <c r="Y31" s="17"/>
      <c r="Z31" s="17"/>
      <c r="AA31" s="17"/>
      <c r="AB31" s="17">
        <f>441.54+300.92</f>
        <v>742.46</v>
      </c>
      <c r="AC31" s="17">
        <f>105.55+129.15+150.09</f>
        <v>384.78999999999996</v>
      </c>
      <c r="AD31" s="17">
        <f>205.38+248.31</f>
        <v>453.69</v>
      </c>
      <c r="AE31" s="17"/>
      <c r="AF31" s="17"/>
      <c r="AG31" s="17">
        <v>205.37</v>
      </c>
      <c r="AH31" s="17"/>
      <c r="AI31" s="17">
        <f>128.09+181.76+98.44</f>
        <v>408.29</v>
      </c>
      <c r="AJ31" s="17">
        <v>166.73</v>
      </c>
      <c r="AK31" s="3"/>
      <c r="AL31" s="3">
        <f>304.05+43.32</f>
        <v>347.37</v>
      </c>
      <c r="AM31" s="3">
        <v>181.68</v>
      </c>
      <c r="AN31" s="3">
        <f>269.79+179.61</f>
        <v>449.40000000000003</v>
      </c>
      <c r="AO31" s="3">
        <f>64.74+323.46+322.38+256.91</f>
        <v>967.49</v>
      </c>
      <c r="AP31" s="3">
        <f>156.53+161.9+218.26+66.9</f>
        <v>603.59</v>
      </c>
      <c r="AQ31" s="3">
        <v>231.14</v>
      </c>
      <c r="AR31" s="3">
        <f>237.59+271.93</f>
        <v>509.52</v>
      </c>
      <c r="AS31" s="3">
        <f>276.12+232.31+231.14+179.61</f>
        <v>919.18</v>
      </c>
      <c r="AT31" s="3">
        <f>219.87+162.44</f>
        <v>382.31</v>
      </c>
      <c r="AV31" s="3">
        <f>195.37+205.37</f>
        <v>400.74</v>
      </c>
      <c r="AX31" s="3">
        <v>140.97</v>
      </c>
      <c r="AY31" s="3"/>
      <c r="AZ31" s="3">
        <f>250+231.14+1075.99</f>
        <v>1557.13</v>
      </c>
      <c r="BA31" s="3">
        <f>353.52+441.54+226.84</f>
        <v>1021.9</v>
      </c>
      <c r="BB31" s="3">
        <v>324.54000000000002</v>
      </c>
      <c r="BC31" s="8">
        <f>125+172.4</f>
        <v>297.39999999999998</v>
      </c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</row>
    <row r="32" spans="1:108" x14ac:dyDescent="0.3">
      <c r="A32" s="9"/>
      <c r="B32" s="2" t="s">
        <v>151</v>
      </c>
      <c r="C32" s="2" t="s">
        <v>152</v>
      </c>
      <c r="D32" s="13">
        <f t="shared" si="1"/>
        <v>595.38999999999987</v>
      </c>
      <c r="E32" s="17"/>
      <c r="F32" s="17"/>
      <c r="G32" s="14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>
        <v>148.68</v>
      </c>
      <c r="AA32" s="17"/>
      <c r="AB32" s="17"/>
      <c r="AC32" s="17"/>
      <c r="AD32" s="17"/>
      <c r="AE32" s="17"/>
      <c r="AF32" s="17">
        <v>115.2</v>
      </c>
      <c r="AG32" s="17" t="s">
        <v>120</v>
      </c>
      <c r="AH32" s="17"/>
      <c r="AI32" s="17">
        <v>69.78</v>
      </c>
      <c r="AJ32" s="17"/>
      <c r="AK32" s="3"/>
      <c r="AQ32" s="3">
        <v>156.41</v>
      </c>
      <c r="AS32" s="3">
        <v>105.32</v>
      </c>
      <c r="AX32" s="3"/>
      <c r="AY32" s="3"/>
      <c r="AZ32" s="3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</row>
    <row r="33" spans="1:108" x14ac:dyDescent="0.3">
      <c r="A33" s="9"/>
      <c r="C33" s="2" t="s">
        <v>153</v>
      </c>
      <c r="D33" s="13">
        <f t="shared" si="1"/>
        <v>351.34000000000003</v>
      </c>
      <c r="E33" s="17"/>
      <c r="F33" s="17"/>
      <c r="G33" s="14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>
        <v>260.44</v>
      </c>
      <c r="AH33" s="17">
        <v>90.9</v>
      </c>
      <c r="AI33" s="17"/>
      <c r="AJ33" s="17"/>
      <c r="AK33" s="3"/>
      <c r="AX33" s="3"/>
      <c r="AY33" s="3"/>
      <c r="AZ33" s="3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</row>
    <row r="34" spans="1:108" s="10" customFormat="1" x14ac:dyDescent="0.3">
      <c r="A34" s="15"/>
      <c r="D34" s="18" t="s">
        <v>120</v>
      </c>
      <c r="E34" s="11"/>
      <c r="F34" s="11"/>
      <c r="G34" s="16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</row>
    <row r="35" spans="1:108" x14ac:dyDescent="0.3">
      <c r="A35" s="9" t="s">
        <v>154</v>
      </c>
      <c r="B35" s="2" t="s">
        <v>155</v>
      </c>
      <c r="C35" s="2" t="s">
        <v>156</v>
      </c>
      <c r="D35" s="13">
        <f t="shared" si="1"/>
        <v>120.23</v>
      </c>
      <c r="E35" s="3"/>
      <c r="F35" s="3"/>
      <c r="G35" s="3"/>
      <c r="H35" s="3"/>
      <c r="I35" s="3"/>
      <c r="J35" s="3"/>
      <c r="K35" s="3">
        <v>120.23</v>
      </c>
      <c r="L35" s="3"/>
      <c r="M35" s="3"/>
      <c r="N35" s="3"/>
      <c r="O35" s="3" t="s">
        <v>120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X35" s="3"/>
      <c r="AY35" s="3"/>
      <c r="AZ35" s="3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</row>
    <row r="36" spans="1:108" x14ac:dyDescent="0.3">
      <c r="A36" s="9" t="s">
        <v>120</v>
      </c>
      <c r="B36" s="2" t="s">
        <v>157</v>
      </c>
      <c r="C36" s="2" t="s">
        <v>158</v>
      </c>
      <c r="D36" s="13">
        <f t="shared" si="1"/>
        <v>219.65</v>
      </c>
      <c r="E36" s="3"/>
      <c r="F36" s="3"/>
      <c r="G36" s="3"/>
      <c r="H36" s="3"/>
      <c r="I36" s="3"/>
      <c r="J36" s="3"/>
      <c r="K36" s="3">
        <v>219.65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X36" s="3"/>
      <c r="AY36" s="3"/>
      <c r="AZ36" s="3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</row>
    <row r="37" spans="1:108" x14ac:dyDescent="0.3">
      <c r="A37" s="9"/>
      <c r="C37" s="2" t="s">
        <v>159</v>
      </c>
      <c r="D37" s="13">
        <f t="shared" si="1"/>
        <v>180.87</v>
      </c>
      <c r="E37" s="3"/>
      <c r="F37" s="3"/>
      <c r="G37" s="3"/>
      <c r="H37" s="3"/>
      <c r="I37" s="3"/>
      <c r="J37" s="3"/>
      <c r="K37" s="3"/>
      <c r="L37" s="3"/>
      <c r="M37" s="3">
        <v>180.87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X37" s="3"/>
      <c r="AY37" s="3"/>
      <c r="AZ37" s="3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</row>
    <row r="38" spans="1:108" ht="13.2" customHeight="1" x14ac:dyDescent="0.3">
      <c r="A38" s="9"/>
      <c r="B38" s="2" t="s">
        <v>160</v>
      </c>
      <c r="C38" s="2" t="s">
        <v>161</v>
      </c>
      <c r="D38" s="13">
        <f t="shared" si="1"/>
        <v>279.86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>
        <v>279.86</v>
      </c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3"/>
      <c r="AY38" s="3"/>
      <c r="AZ38" s="3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</row>
    <row r="39" spans="1:108" ht="13.2" customHeight="1" x14ac:dyDescent="0.3">
      <c r="A39" s="9"/>
      <c r="B39" s="2" t="s">
        <v>162</v>
      </c>
      <c r="D39" s="13">
        <f t="shared" si="1"/>
        <v>82.62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>
        <v>82.62</v>
      </c>
      <c r="AO39" s="17"/>
      <c r="AP39" s="17"/>
      <c r="AQ39" s="17"/>
      <c r="AR39" s="17"/>
      <c r="AS39" s="17"/>
      <c r="AT39" s="17"/>
      <c r="AU39" s="17"/>
      <c r="AV39" s="17"/>
      <c r="AW39" s="17"/>
      <c r="AX39" s="3"/>
      <c r="AY39" s="3"/>
      <c r="AZ39" s="3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</row>
    <row r="40" spans="1:108" ht="13.2" customHeight="1" x14ac:dyDescent="0.3">
      <c r="A40" s="9"/>
      <c r="C40" s="2" t="s">
        <v>163</v>
      </c>
      <c r="D40" s="13">
        <f t="shared" si="1"/>
        <v>73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>
        <v>73</v>
      </c>
      <c r="AP40" s="17"/>
      <c r="AQ40" s="17"/>
      <c r="AR40" s="17"/>
      <c r="AS40" s="17"/>
      <c r="AT40" s="17"/>
      <c r="AU40" s="17"/>
      <c r="AV40" s="17"/>
      <c r="AW40" s="17"/>
      <c r="AX40" s="3"/>
      <c r="AY40" s="3"/>
      <c r="AZ40" s="3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</row>
    <row r="41" spans="1:108" s="10" customFormat="1" x14ac:dyDescent="0.3">
      <c r="A41" s="15"/>
      <c r="D41" s="18" t="s">
        <v>120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</row>
    <row r="42" spans="1:108" x14ac:dyDescent="0.3">
      <c r="A42" s="9" t="s">
        <v>164</v>
      </c>
      <c r="B42" s="2" t="s">
        <v>165</v>
      </c>
      <c r="C42" s="2" t="s">
        <v>166</v>
      </c>
      <c r="D42" s="13">
        <f t="shared" si="1"/>
        <v>656.81999999999994</v>
      </c>
      <c r="E42" s="17"/>
      <c r="F42" s="17"/>
      <c r="G42" s="14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>
        <v>350.43</v>
      </c>
      <c r="AJ42" s="17"/>
      <c r="AK42" s="3"/>
      <c r="AQ42" s="3">
        <v>306.39</v>
      </c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</row>
    <row r="43" spans="1:108" s="10" customFormat="1" x14ac:dyDescent="0.3">
      <c r="A43" s="15"/>
      <c r="B43" s="10" t="s">
        <v>167</v>
      </c>
      <c r="C43" s="10" t="s">
        <v>168</v>
      </c>
      <c r="D43" s="18">
        <f t="shared" si="1"/>
        <v>134.59</v>
      </c>
      <c r="E43" s="11"/>
      <c r="F43" s="11"/>
      <c r="G43" s="16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>
        <v>134.59</v>
      </c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</row>
    <row r="44" spans="1:108" x14ac:dyDescent="0.3">
      <c r="A44" s="9" t="s">
        <v>169</v>
      </c>
      <c r="B44" s="2" t="s">
        <v>118</v>
      </c>
      <c r="C44" s="2" t="s">
        <v>170</v>
      </c>
      <c r="D44" s="13">
        <f t="shared" si="1"/>
        <v>133.24</v>
      </c>
      <c r="E44" s="17"/>
      <c r="F44" s="17"/>
      <c r="G44" s="14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3"/>
      <c r="AX44" s="3"/>
      <c r="AY44" s="3"/>
      <c r="AZ44" s="3"/>
      <c r="BA44" s="3"/>
      <c r="BB44" s="3"/>
      <c r="BC44" s="3">
        <v>133.24</v>
      </c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</row>
    <row r="45" spans="1:108" s="10" customFormat="1" x14ac:dyDescent="0.3">
      <c r="A45" s="15"/>
      <c r="D45" s="18" t="s">
        <v>120</v>
      </c>
      <c r="E45" s="11"/>
      <c r="F45" s="11"/>
      <c r="G45" s="16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</row>
    <row r="46" spans="1:108" x14ac:dyDescent="0.3">
      <c r="A46" s="9" t="s">
        <v>171</v>
      </c>
      <c r="B46" s="2" t="s">
        <v>172</v>
      </c>
      <c r="C46" s="2" t="s">
        <v>173</v>
      </c>
      <c r="D46" s="13">
        <f t="shared" si="1"/>
        <v>938.08000000000015</v>
      </c>
      <c r="E46" s="17"/>
      <c r="F46" s="17"/>
      <c r="G46" s="14"/>
      <c r="H46" s="17"/>
      <c r="I46" s="17"/>
      <c r="J46" s="17"/>
      <c r="K46" s="17"/>
      <c r="L46" s="17"/>
      <c r="M46" s="17"/>
      <c r="N46" s="17"/>
      <c r="O46" s="17"/>
      <c r="P46" s="17">
        <v>285.17</v>
      </c>
      <c r="Q46" s="17"/>
      <c r="R46" s="17"/>
      <c r="S46" s="17"/>
      <c r="T46" s="17"/>
      <c r="U46" s="17"/>
      <c r="V46" s="17">
        <v>288.77</v>
      </c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3"/>
      <c r="AN46" s="3">
        <v>91.46</v>
      </c>
      <c r="AV46" s="3">
        <v>272.68</v>
      </c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</row>
    <row r="47" spans="1:108" x14ac:dyDescent="0.3">
      <c r="A47" s="9"/>
      <c r="B47" s="2" t="s">
        <v>174</v>
      </c>
      <c r="C47" s="2" t="s">
        <v>175</v>
      </c>
      <c r="D47" s="13">
        <f t="shared" si="1"/>
        <v>287.27999999999997</v>
      </c>
      <c r="E47" s="17"/>
      <c r="F47" s="17"/>
      <c r="G47" s="14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3"/>
      <c r="AX47" s="3"/>
      <c r="AY47" s="3"/>
      <c r="AZ47" s="3"/>
      <c r="BA47" s="3">
        <v>287.27999999999997</v>
      </c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</row>
    <row r="48" spans="1:108" s="10" customFormat="1" x14ac:dyDescent="0.3">
      <c r="A48" s="15"/>
      <c r="D48" s="18" t="s">
        <v>120</v>
      </c>
      <c r="E48" s="11"/>
      <c r="F48" s="11"/>
      <c r="G48" s="16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</row>
    <row r="49" spans="1:108" x14ac:dyDescent="0.3">
      <c r="A49" s="9" t="s">
        <v>176</v>
      </c>
      <c r="C49" s="2" t="s">
        <v>177</v>
      </c>
      <c r="D49" s="13">
        <f t="shared" si="1"/>
        <v>482.7</v>
      </c>
      <c r="E49" s="3"/>
      <c r="F49" s="3"/>
      <c r="G49" s="14"/>
      <c r="H49" s="3"/>
      <c r="I49" s="3"/>
      <c r="J49" s="3"/>
      <c r="K49" s="3"/>
      <c r="L49" s="3">
        <v>482.7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</row>
    <row r="50" spans="1:108" s="10" customFormat="1" x14ac:dyDescent="0.3">
      <c r="A50" s="15"/>
      <c r="D50" s="18">
        <f t="shared" si="1"/>
        <v>88.63</v>
      </c>
      <c r="E50" s="11"/>
      <c r="F50" s="11"/>
      <c r="G50" s="16"/>
      <c r="H50" s="11"/>
      <c r="I50" s="11"/>
      <c r="J50" s="11"/>
      <c r="K50" s="11">
        <v>88.63</v>
      </c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</row>
    <row r="51" spans="1:108" x14ac:dyDescent="0.3">
      <c r="A51" s="9" t="s">
        <v>178</v>
      </c>
      <c r="B51" s="2" t="s">
        <v>179</v>
      </c>
      <c r="C51" s="2" t="s">
        <v>180</v>
      </c>
      <c r="D51" s="13">
        <f t="shared" si="1"/>
        <v>237.58</v>
      </c>
      <c r="E51" s="17"/>
      <c r="F51" s="17"/>
      <c r="G51" s="14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>
        <v>237.58</v>
      </c>
      <c r="AN51" s="17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</row>
    <row r="52" spans="1:108" s="10" customFormat="1" x14ac:dyDescent="0.3">
      <c r="A52" s="15"/>
      <c r="D52" s="18" t="s">
        <v>120</v>
      </c>
      <c r="E52" s="11"/>
      <c r="F52" s="11"/>
      <c r="G52" s="16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</row>
    <row r="53" spans="1:108" x14ac:dyDescent="0.3">
      <c r="A53" s="9" t="s">
        <v>181</v>
      </c>
      <c r="B53" s="2" t="s">
        <v>182</v>
      </c>
      <c r="C53" s="2" t="s">
        <v>183</v>
      </c>
      <c r="D53" s="13">
        <f t="shared" si="1"/>
        <v>274.3</v>
      </c>
      <c r="E53" s="17"/>
      <c r="F53" s="17"/>
      <c r="G53" s="14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X53" s="3"/>
      <c r="AY53" s="3"/>
      <c r="AZ53" s="3"/>
      <c r="BA53" s="3"/>
      <c r="BB53" s="3"/>
      <c r="BC53" s="3">
        <v>274.3</v>
      </c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</row>
    <row r="54" spans="1:108" s="10" customFormat="1" x14ac:dyDescent="0.3">
      <c r="A54" s="15"/>
      <c r="D54" s="18" t="s">
        <v>120</v>
      </c>
      <c r="E54" s="11"/>
      <c r="F54" s="11"/>
      <c r="G54" s="16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</row>
    <row r="55" spans="1:108" x14ac:dyDescent="0.3">
      <c r="A55" s="9" t="s">
        <v>184</v>
      </c>
      <c r="B55" s="2" t="s">
        <v>185</v>
      </c>
      <c r="C55" s="2" t="s">
        <v>186</v>
      </c>
      <c r="D55" s="13">
        <f t="shared" si="1"/>
        <v>1211.45</v>
      </c>
      <c r="E55" s="3"/>
      <c r="F55" s="3"/>
      <c r="G55" s="14"/>
      <c r="H55" s="3"/>
      <c r="I55" s="3"/>
      <c r="J55" s="3"/>
      <c r="K55" s="3"/>
      <c r="L55" s="3"/>
      <c r="M55" s="3"/>
      <c r="N55" s="3"/>
      <c r="O55" s="3"/>
      <c r="P55" s="3"/>
      <c r="Q55" s="3" t="s">
        <v>120</v>
      </c>
      <c r="R55" s="3">
        <v>160.38</v>
      </c>
      <c r="S55" s="3"/>
      <c r="T55" s="3"/>
      <c r="U55" s="3"/>
      <c r="V55" s="3"/>
      <c r="W55" s="3"/>
      <c r="X55" s="3"/>
      <c r="Y55" s="3"/>
      <c r="Z55" s="3"/>
      <c r="AA55" s="3"/>
      <c r="AB55" s="3">
        <v>282.86</v>
      </c>
      <c r="AC55" s="3"/>
      <c r="AD55" s="3"/>
      <c r="AE55" s="3"/>
      <c r="AF55" s="3"/>
      <c r="AG55" s="3"/>
      <c r="AH55" s="3"/>
      <c r="AI55" s="3"/>
      <c r="AJ55" s="3"/>
      <c r="AK55" s="3">
        <v>154.59</v>
      </c>
      <c r="AR55" s="3">
        <v>131.85</v>
      </c>
      <c r="AS55" s="3">
        <v>121.1</v>
      </c>
      <c r="AV55" s="3">
        <v>128.83000000000001</v>
      </c>
      <c r="AX55" s="3"/>
      <c r="AY55" s="3"/>
      <c r="AZ55" s="3"/>
      <c r="BA55" s="3"/>
      <c r="BB55" s="3">
        <v>231.84</v>
      </c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</row>
    <row r="56" spans="1:108" x14ac:dyDescent="0.3">
      <c r="A56" s="9"/>
      <c r="C56" s="2" t="s">
        <v>187</v>
      </c>
      <c r="D56" s="13">
        <f t="shared" si="1"/>
        <v>434.75</v>
      </c>
      <c r="E56" s="3"/>
      <c r="F56" s="3"/>
      <c r="G56" s="14"/>
      <c r="H56" s="3"/>
      <c r="I56" s="3"/>
      <c r="J56" s="3"/>
      <c r="K56" s="3"/>
      <c r="L56" s="3"/>
      <c r="M56" s="3"/>
      <c r="N56" s="3">
        <v>215.77</v>
      </c>
      <c r="O56" s="3"/>
      <c r="P56" s="3">
        <v>148.13999999999999</v>
      </c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V56" s="3" t="s">
        <v>120</v>
      </c>
      <c r="AW56" s="3">
        <v>70.84</v>
      </c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</row>
    <row r="57" spans="1:108" x14ac:dyDescent="0.3">
      <c r="A57" s="9"/>
      <c r="C57" s="2" t="s">
        <v>188</v>
      </c>
      <c r="D57" s="13">
        <f t="shared" si="1"/>
        <v>266.14</v>
      </c>
      <c r="E57" s="3"/>
      <c r="F57" s="3"/>
      <c r="G57" s="14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>
        <v>155.97</v>
      </c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X57" s="3"/>
      <c r="AY57" s="3"/>
      <c r="AZ57" s="3"/>
      <c r="BA57" s="3">
        <v>110.17</v>
      </c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</row>
    <row r="58" spans="1:108" x14ac:dyDescent="0.3">
      <c r="A58" s="9"/>
      <c r="C58" s="2" t="s">
        <v>189</v>
      </c>
      <c r="D58" s="13">
        <f t="shared" si="1"/>
        <v>713.66</v>
      </c>
      <c r="E58" s="3"/>
      <c r="F58" s="3"/>
      <c r="G58" s="1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>
        <v>713.66</v>
      </c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</row>
    <row r="59" spans="1:108" x14ac:dyDescent="0.3">
      <c r="A59" s="9"/>
      <c r="B59" s="2" t="s">
        <v>157</v>
      </c>
      <c r="C59" s="2" t="s">
        <v>190</v>
      </c>
      <c r="D59" s="13">
        <f t="shared" si="1"/>
        <v>84.27</v>
      </c>
      <c r="E59" s="3"/>
      <c r="F59" s="3"/>
      <c r="G59" s="14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X59" s="3"/>
      <c r="AY59" s="3"/>
      <c r="AZ59" s="3"/>
      <c r="BA59" s="3">
        <v>84.27</v>
      </c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</row>
    <row r="60" spans="1:108" x14ac:dyDescent="0.3">
      <c r="A60" s="9"/>
      <c r="B60" s="2" t="s">
        <v>191</v>
      </c>
      <c r="C60" s="2" t="s">
        <v>192</v>
      </c>
      <c r="D60" s="13">
        <f t="shared" si="1"/>
        <v>86.07</v>
      </c>
      <c r="E60" s="3"/>
      <c r="F60" s="3"/>
      <c r="G60" s="14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X60" s="3"/>
      <c r="AY60" s="3"/>
      <c r="AZ60" s="3"/>
      <c r="BA60" s="3"/>
      <c r="BB60" s="3">
        <v>86.07</v>
      </c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</row>
    <row r="61" spans="1:108" s="10" customFormat="1" x14ac:dyDescent="0.3">
      <c r="A61" s="15"/>
      <c r="D61" s="18">
        <f t="shared" si="1"/>
        <v>116.04</v>
      </c>
      <c r="E61" s="11"/>
      <c r="F61" s="11"/>
      <c r="G61" s="16"/>
      <c r="H61" s="11"/>
      <c r="I61" s="11"/>
      <c r="J61" s="11"/>
      <c r="K61" s="11"/>
      <c r="L61" s="11"/>
      <c r="M61" s="11"/>
      <c r="N61" s="11"/>
      <c r="O61" s="11"/>
      <c r="P61" s="11"/>
      <c r="Q61" s="11">
        <v>116.04</v>
      </c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</row>
    <row r="62" spans="1:108" x14ac:dyDescent="0.3">
      <c r="A62" s="9" t="s">
        <v>193</v>
      </c>
      <c r="B62" s="2" t="s">
        <v>194</v>
      </c>
      <c r="C62" s="2" t="s">
        <v>195</v>
      </c>
      <c r="D62" s="13">
        <f t="shared" si="1"/>
        <v>2532.7700000000004</v>
      </c>
      <c r="E62" s="3"/>
      <c r="F62" s="3"/>
      <c r="G62" s="14"/>
      <c r="H62" s="3"/>
      <c r="I62" s="3"/>
      <c r="J62" s="3"/>
      <c r="K62" s="3">
        <v>362.41</v>
      </c>
      <c r="L62" s="3"/>
      <c r="M62" s="3"/>
      <c r="N62" s="3">
        <v>380.18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>
        <v>295.86</v>
      </c>
      <c r="Z62" s="3"/>
      <c r="AA62" s="3"/>
      <c r="AB62" s="3"/>
      <c r="AC62" s="3">
        <v>340.42</v>
      </c>
      <c r="AD62" s="3"/>
      <c r="AE62" s="3"/>
      <c r="AF62" s="3"/>
      <c r="AG62" s="3"/>
      <c r="AH62" s="3"/>
      <c r="AI62" s="3">
        <v>801.68</v>
      </c>
      <c r="AJ62" s="3"/>
      <c r="AK62" s="3"/>
      <c r="AM62" s="3">
        <v>352.22</v>
      </c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</row>
    <row r="63" spans="1:108" s="10" customFormat="1" x14ac:dyDescent="0.3">
      <c r="A63" s="15"/>
      <c r="D63" s="18" t="s">
        <v>120</v>
      </c>
      <c r="E63" s="11"/>
      <c r="F63" s="11"/>
      <c r="G63" s="16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</row>
    <row r="64" spans="1:108" x14ac:dyDescent="0.3">
      <c r="A64" s="9" t="s">
        <v>196</v>
      </c>
      <c r="B64" s="2" t="s">
        <v>197</v>
      </c>
      <c r="C64" s="2" t="s">
        <v>198</v>
      </c>
      <c r="D64" s="13">
        <f t="shared" si="1"/>
        <v>97.48</v>
      </c>
      <c r="E64" s="17"/>
      <c r="F64" s="17"/>
      <c r="G64" s="14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>
        <v>97.48</v>
      </c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</row>
    <row r="65" spans="1:108" x14ac:dyDescent="0.3">
      <c r="A65" s="9"/>
      <c r="B65" s="2" t="s">
        <v>160</v>
      </c>
      <c r="C65" s="2" t="s">
        <v>161</v>
      </c>
      <c r="D65" s="13">
        <f t="shared" si="1"/>
        <v>279.86</v>
      </c>
      <c r="E65" s="17"/>
      <c r="F65" s="17"/>
      <c r="G65" s="14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>
        <v>279.86</v>
      </c>
      <c r="AD65" s="17"/>
      <c r="AE65" s="17"/>
      <c r="AF65" s="17"/>
      <c r="AG65" s="17"/>
      <c r="AH65" s="17"/>
      <c r="AI65" s="17"/>
      <c r="AJ65" s="17"/>
      <c r="AK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</row>
    <row r="66" spans="1:108" s="10" customFormat="1" x14ac:dyDescent="0.3">
      <c r="A66" s="15"/>
      <c r="D66" s="18" t="s">
        <v>120</v>
      </c>
      <c r="E66" s="11"/>
      <c r="F66" s="11"/>
      <c r="G66" s="16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</row>
    <row r="67" spans="1:108" x14ac:dyDescent="0.3">
      <c r="A67" s="9" t="s">
        <v>199</v>
      </c>
      <c r="B67" s="2" t="s">
        <v>200</v>
      </c>
      <c r="C67" s="2" t="s">
        <v>201</v>
      </c>
      <c r="D67" s="13">
        <f t="shared" si="1"/>
        <v>235.44</v>
      </c>
      <c r="E67" s="3"/>
      <c r="F67" s="3"/>
      <c r="G67" s="14"/>
      <c r="H67" s="3"/>
      <c r="I67" s="3"/>
      <c r="J67" s="3">
        <v>235.44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</row>
    <row r="68" spans="1:108" s="10" customFormat="1" x14ac:dyDescent="0.3">
      <c r="A68" s="15"/>
      <c r="D68" s="18" t="s">
        <v>120</v>
      </c>
      <c r="E68" s="11"/>
      <c r="F68" s="11"/>
      <c r="G68" s="16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</row>
    <row r="69" spans="1:108" x14ac:dyDescent="0.3">
      <c r="A69" s="9" t="s">
        <v>202</v>
      </c>
      <c r="B69" s="2" t="s">
        <v>203</v>
      </c>
      <c r="C69" s="2" t="s">
        <v>204</v>
      </c>
      <c r="D69" s="13">
        <f t="shared" si="1"/>
        <v>91.24</v>
      </c>
      <c r="E69" s="3"/>
      <c r="F69" s="3"/>
      <c r="G69" s="14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>
        <v>91.24</v>
      </c>
      <c r="AG69" s="3"/>
      <c r="AH69" s="3"/>
      <c r="AI69" s="3"/>
      <c r="AJ69" s="3"/>
      <c r="AK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</row>
    <row r="70" spans="1:108" s="10" customFormat="1" x14ac:dyDescent="0.3">
      <c r="A70" s="15"/>
      <c r="D70" s="18" t="s">
        <v>120</v>
      </c>
      <c r="E70" s="11"/>
      <c r="F70" s="11"/>
      <c r="G70" s="16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</row>
    <row r="71" spans="1:108" x14ac:dyDescent="0.3">
      <c r="A71" s="9" t="s">
        <v>205</v>
      </c>
      <c r="B71" s="2" t="s">
        <v>206</v>
      </c>
      <c r="C71" s="2" t="s">
        <v>207</v>
      </c>
      <c r="D71" s="13">
        <f t="shared" si="1"/>
        <v>398.26</v>
      </c>
      <c r="E71" s="3"/>
      <c r="F71" s="3"/>
      <c r="G71" s="14"/>
      <c r="H71" s="3"/>
      <c r="I71" s="3"/>
      <c r="J71" s="3">
        <v>398.26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</row>
    <row r="72" spans="1:108" s="10" customFormat="1" x14ac:dyDescent="0.3">
      <c r="A72" s="15"/>
      <c r="D72" s="18" t="s">
        <v>120</v>
      </c>
      <c r="E72" s="11"/>
      <c r="F72" s="11"/>
      <c r="G72" s="16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</row>
    <row r="73" spans="1:108" x14ac:dyDescent="0.3">
      <c r="A73" s="9" t="s">
        <v>208</v>
      </c>
      <c r="B73" s="2" t="s">
        <v>209</v>
      </c>
      <c r="C73" s="2" t="s">
        <v>210</v>
      </c>
      <c r="D73" s="13">
        <f t="shared" si="1"/>
        <v>681.23</v>
      </c>
      <c r="E73" s="3"/>
      <c r="F73" s="3"/>
      <c r="G73" s="14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>
        <v>314.85000000000002</v>
      </c>
      <c r="AG73" s="3"/>
      <c r="AH73" s="3"/>
      <c r="AI73" s="3"/>
      <c r="AJ73" s="3"/>
      <c r="AK73" s="3"/>
      <c r="AX73" s="3">
        <v>366.38</v>
      </c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</row>
    <row r="74" spans="1:108" s="10" customFormat="1" x14ac:dyDescent="0.3">
      <c r="A74" s="15"/>
      <c r="D74" s="18" t="s">
        <v>120</v>
      </c>
      <c r="E74" s="11"/>
      <c r="F74" s="11"/>
      <c r="G74" s="16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</row>
    <row r="75" spans="1:108" x14ac:dyDescent="0.3">
      <c r="A75" s="9" t="s">
        <v>211</v>
      </c>
      <c r="B75" s="2" t="s">
        <v>212</v>
      </c>
      <c r="C75" s="2" t="s">
        <v>213</v>
      </c>
      <c r="D75" s="13">
        <f t="shared" si="1"/>
        <v>690.56999999999994</v>
      </c>
      <c r="E75" s="17"/>
      <c r="F75" s="17"/>
      <c r="G75" s="14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>
        <v>400.63</v>
      </c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3"/>
      <c r="AP75" s="3">
        <v>289.94</v>
      </c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</row>
    <row r="76" spans="1:108" s="10" customFormat="1" x14ac:dyDescent="0.3">
      <c r="A76" s="15"/>
      <c r="D76" s="18" t="s">
        <v>120</v>
      </c>
      <c r="E76" s="11"/>
      <c r="F76" s="11"/>
      <c r="G76" s="16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</row>
    <row r="77" spans="1:108" x14ac:dyDescent="0.3">
      <c r="A77" s="9" t="s">
        <v>214</v>
      </c>
      <c r="C77" s="2" t="s">
        <v>215</v>
      </c>
      <c r="D77" s="13">
        <f t="shared" si="1"/>
        <v>427.90999999999997</v>
      </c>
      <c r="E77" s="17"/>
      <c r="F77" s="17"/>
      <c r="G77" s="14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>
        <v>224.69</v>
      </c>
      <c r="AD77" s="17"/>
      <c r="AE77" s="17"/>
      <c r="AF77" s="17"/>
      <c r="AG77" s="17"/>
      <c r="AH77" s="17"/>
      <c r="AI77" s="17"/>
      <c r="AJ77" s="17">
        <v>203.22</v>
      </c>
      <c r="AK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</row>
    <row r="78" spans="1:108" s="10" customFormat="1" x14ac:dyDescent="0.3">
      <c r="A78" s="15"/>
      <c r="D78" s="18" t="s">
        <v>120</v>
      </c>
      <c r="E78" s="11"/>
      <c r="F78" s="11"/>
      <c r="G78" s="16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</row>
    <row r="79" spans="1:108" x14ac:dyDescent="0.3">
      <c r="A79" s="9" t="s">
        <v>216</v>
      </c>
      <c r="B79" s="2" t="s">
        <v>217</v>
      </c>
      <c r="C79" s="2" t="s">
        <v>218</v>
      </c>
      <c r="D79" s="13">
        <f t="shared" si="1"/>
        <v>211.27</v>
      </c>
      <c r="E79" s="17"/>
      <c r="F79" s="17"/>
      <c r="G79" s="14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3"/>
      <c r="AM79" s="3">
        <v>130.11000000000001</v>
      </c>
      <c r="AT79" s="3">
        <v>81.16</v>
      </c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</row>
    <row r="80" spans="1:108" s="10" customFormat="1" x14ac:dyDescent="0.3">
      <c r="A80" s="15"/>
      <c r="D80" s="18" t="s">
        <v>120</v>
      </c>
      <c r="E80" s="11"/>
      <c r="F80" s="11"/>
      <c r="G80" s="16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</row>
    <row r="81" spans="1:108" x14ac:dyDescent="0.3">
      <c r="A81" s="9" t="s">
        <v>219</v>
      </c>
      <c r="B81" s="2" t="s">
        <v>220</v>
      </c>
      <c r="C81" s="2" t="s">
        <v>221</v>
      </c>
      <c r="D81" s="13">
        <f t="shared" si="1"/>
        <v>341.37</v>
      </c>
      <c r="E81" s="17"/>
      <c r="F81" s="17"/>
      <c r="G81" s="14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>
        <v>341.37</v>
      </c>
      <c r="AF81" s="17"/>
      <c r="AG81" s="17"/>
      <c r="AH81" s="17"/>
      <c r="AI81" s="17"/>
      <c r="AJ81" s="17"/>
      <c r="AK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</row>
    <row r="82" spans="1:108" s="10" customFormat="1" x14ac:dyDescent="0.3">
      <c r="A82" s="15" t="s">
        <v>120</v>
      </c>
      <c r="D82" s="18" t="s">
        <v>120</v>
      </c>
      <c r="E82" s="11"/>
      <c r="F82" s="11"/>
      <c r="G82" s="16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</row>
    <row r="83" spans="1:108" x14ac:dyDescent="0.3">
      <c r="A83" s="9" t="s">
        <v>222</v>
      </c>
      <c r="B83" s="2" t="s">
        <v>223</v>
      </c>
      <c r="C83" s="2" t="s">
        <v>224</v>
      </c>
      <c r="D83" s="13">
        <f t="shared" si="1"/>
        <v>478.88</v>
      </c>
      <c r="E83" s="17"/>
      <c r="F83" s="17"/>
      <c r="G83" s="14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>
        <v>112.69</v>
      </c>
      <c r="T83" s="17">
        <v>180.86</v>
      </c>
      <c r="U83" s="17"/>
      <c r="V83" s="17">
        <v>185.33</v>
      </c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</row>
    <row r="84" spans="1:108" x14ac:dyDescent="0.3">
      <c r="A84" s="9"/>
      <c r="B84" s="2" t="s">
        <v>149</v>
      </c>
      <c r="C84" s="2" t="s">
        <v>224</v>
      </c>
      <c r="D84" s="13">
        <f t="shared" ref="D84:D147" si="2">SUM(E84:BD84)</f>
        <v>912.9</v>
      </c>
      <c r="E84" s="17"/>
      <c r="F84" s="17"/>
      <c r="G84" s="14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>
        <v>590.9</v>
      </c>
      <c r="Y84" s="17">
        <v>144.9</v>
      </c>
      <c r="Z84" s="17"/>
      <c r="AA84" s="17"/>
      <c r="AB84" s="17"/>
      <c r="AC84" s="17"/>
      <c r="AD84" s="17">
        <v>177.1</v>
      </c>
      <c r="AE84" s="17"/>
      <c r="AF84" s="17"/>
      <c r="AG84" s="17"/>
      <c r="AH84" s="17"/>
      <c r="AI84" s="17"/>
      <c r="AJ84" s="17"/>
      <c r="AK84" s="3" t="s">
        <v>120</v>
      </c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</row>
    <row r="85" spans="1:108" x14ac:dyDescent="0.3">
      <c r="A85" s="9"/>
      <c r="B85" s="2" t="s">
        <v>225</v>
      </c>
      <c r="C85" s="2" t="s">
        <v>226</v>
      </c>
      <c r="D85" s="13">
        <f t="shared" si="2"/>
        <v>236.1</v>
      </c>
      <c r="E85" s="17"/>
      <c r="F85" s="17"/>
      <c r="G85" s="14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>
        <v>236.1</v>
      </c>
      <c r="AI85" s="17"/>
      <c r="AJ85" s="17"/>
      <c r="AK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</row>
    <row r="86" spans="1:108" x14ac:dyDescent="0.3">
      <c r="A86" s="9"/>
      <c r="B86" s="2" t="s">
        <v>227</v>
      </c>
      <c r="C86" s="2" t="s">
        <v>228</v>
      </c>
      <c r="D86" s="13">
        <f t="shared" si="2"/>
        <v>876.75</v>
      </c>
      <c r="E86" s="17"/>
      <c r="F86" s="17"/>
      <c r="G86" s="14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3">
        <v>225.05</v>
      </c>
      <c r="AP86" s="3">
        <v>651.70000000000005</v>
      </c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</row>
    <row r="87" spans="1:108" s="10" customFormat="1" x14ac:dyDescent="0.3">
      <c r="A87" s="15"/>
      <c r="D87" s="18" t="s">
        <v>120</v>
      </c>
      <c r="E87" s="11"/>
      <c r="F87" s="11"/>
      <c r="G87" s="16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</row>
    <row r="88" spans="1:108" x14ac:dyDescent="0.3">
      <c r="A88" s="9" t="s">
        <v>229</v>
      </c>
      <c r="B88" s="2" t="s">
        <v>230</v>
      </c>
      <c r="C88" s="2" t="s">
        <v>231</v>
      </c>
      <c r="D88" s="13">
        <f t="shared" si="2"/>
        <v>1023.98</v>
      </c>
      <c r="E88" s="17"/>
      <c r="F88" s="17"/>
      <c r="G88" s="14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>
        <v>126.68</v>
      </c>
      <c r="AE88" s="17"/>
      <c r="AF88" s="17">
        <v>136.68</v>
      </c>
      <c r="AG88" s="17">
        <v>89.81</v>
      </c>
      <c r="AH88" s="17"/>
      <c r="AI88" s="17">
        <v>74.78</v>
      </c>
      <c r="AJ88" s="17">
        <v>57.6</v>
      </c>
      <c r="AK88" s="3">
        <v>140.19</v>
      </c>
      <c r="AN88" s="3">
        <v>73</v>
      </c>
      <c r="AV88" s="3">
        <v>84.44</v>
      </c>
      <c r="AX88" s="3"/>
      <c r="AY88" s="3"/>
      <c r="AZ88" s="3">
        <v>133.82</v>
      </c>
      <c r="BA88" s="3"/>
      <c r="BB88" s="3"/>
      <c r="BC88" s="3">
        <v>106.98</v>
      </c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</row>
    <row r="89" spans="1:108" x14ac:dyDescent="0.3">
      <c r="A89" s="9"/>
      <c r="B89" s="2" t="s">
        <v>232</v>
      </c>
      <c r="C89" s="2" t="s">
        <v>233</v>
      </c>
      <c r="D89" s="13">
        <f t="shared" si="2"/>
        <v>112.47</v>
      </c>
      <c r="E89" s="17"/>
      <c r="F89" s="17"/>
      <c r="G89" s="14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3"/>
      <c r="AQ89" s="3">
        <v>112.47</v>
      </c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</row>
    <row r="90" spans="1:108" s="10" customFormat="1" x14ac:dyDescent="0.3">
      <c r="A90" s="15"/>
      <c r="D90" s="18" t="s">
        <v>120</v>
      </c>
      <c r="E90" s="11"/>
      <c r="F90" s="11"/>
      <c r="G90" s="16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</row>
    <row r="91" spans="1:108" x14ac:dyDescent="0.3">
      <c r="A91" s="9" t="s">
        <v>234</v>
      </c>
      <c r="B91" s="2" t="s">
        <v>235</v>
      </c>
      <c r="C91" s="2" t="s">
        <v>236</v>
      </c>
      <c r="D91" s="13">
        <f t="shared" si="2"/>
        <v>158.32</v>
      </c>
      <c r="E91" s="3"/>
      <c r="F91" s="3"/>
      <c r="G91" s="14"/>
      <c r="H91" s="3"/>
      <c r="I91" s="3"/>
      <c r="J91" s="3"/>
      <c r="K91" s="3">
        <v>158.32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</row>
    <row r="92" spans="1:108" s="10" customFormat="1" x14ac:dyDescent="0.3">
      <c r="A92" s="15"/>
      <c r="D92" s="18" t="s">
        <v>120</v>
      </c>
      <c r="E92" s="11"/>
      <c r="F92" s="11"/>
      <c r="G92" s="16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</row>
    <row r="93" spans="1:108" x14ac:dyDescent="0.3">
      <c r="A93" s="9" t="s">
        <v>237</v>
      </c>
      <c r="B93" s="2" t="s">
        <v>238</v>
      </c>
      <c r="C93" s="2" t="s">
        <v>239</v>
      </c>
      <c r="D93" s="13">
        <f t="shared" si="2"/>
        <v>174.06</v>
      </c>
      <c r="E93" s="17"/>
      <c r="F93" s="17"/>
      <c r="G93" s="14"/>
      <c r="H93" s="3"/>
      <c r="I93" s="3"/>
      <c r="J93" s="3"/>
      <c r="K93" s="3"/>
      <c r="L93" s="3">
        <v>174.06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</row>
    <row r="94" spans="1:108" s="10" customFormat="1" x14ac:dyDescent="0.3">
      <c r="A94" s="15"/>
      <c r="D94" s="18" t="s">
        <v>120</v>
      </c>
      <c r="E94" s="11"/>
      <c r="F94" s="11"/>
      <c r="G94" s="16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</row>
    <row r="95" spans="1:108" x14ac:dyDescent="0.3">
      <c r="A95" s="9" t="s">
        <v>240</v>
      </c>
      <c r="B95" s="2" t="s">
        <v>118</v>
      </c>
      <c r="C95" s="2" t="s">
        <v>241</v>
      </c>
      <c r="D95" s="13">
        <f t="shared" si="2"/>
        <v>1811.17</v>
      </c>
      <c r="E95" s="17"/>
      <c r="F95" s="17"/>
      <c r="G95" s="14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>
        <v>1811.17</v>
      </c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</row>
    <row r="96" spans="1:108" s="10" customFormat="1" x14ac:dyDescent="0.3">
      <c r="A96" s="15"/>
      <c r="D96" s="18" t="s">
        <v>120</v>
      </c>
      <c r="E96" s="11"/>
      <c r="F96" s="11"/>
      <c r="G96" s="16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</row>
    <row r="97" spans="1:108" x14ac:dyDescent="0.3">
      <c r="A97" s="9" t="s">
        <v>242</v>
      </c>
      <c r="B97" s="2" t="s">
        <v>243</v>
      </c>
      <c r="C97" s="2" t="s">
        <v>244</v>
      </c>
      <c r="D97" s="13">
        <f t="shared" si="2"/>
        <v>274.25</v>
      </c>
      <c r="E97" s="17"/>
      <c r="F97" s="17"/>
      <c r="G97" s="14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>
        <v>274.25</v>
      </c>
      <c r="AL97" s="17"/>
      <c r="AM97" s="17"/>
      <c r="AN97" s="17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</row>
    <row r="98" spans="1:108" s="10" customFormat="1" x14ac:dyDescent="0.3">
      <c r="A98" s="15"/>
      <c r="D98" s="18" t="s">
        <v>120</v>
      </c>
      <c r="E98" s="11"/>
      <c r="F98" s="11"/>
      <c r="G98" s="16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</row>
    <row r="99" spans="1:108" x14ac:dyDescent="0.3">
      <c r="A99" s="9" t="s">
        <v>245</v>
      </c>
      <c r="B99" s="2" t="s">
        <v>246</v>
      </c>
      <c r="C99" s="2" t="s">
        <v>247</v>
      </c>
      <c r="D99" s="13">
        <f t="shared" si="2"/>
        <v>104.85</v>
      </c>
      <c r="E99" s="17"/>
      <c r="F99" s="17"/>
      <c r="G99" s="14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>
        <v>104.85</v>
      </c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</row>
    <row r="100" spans="1:108" s="10" customFormat="1" x14ac:dyDescent="0.3">
      <c r="A100" s="15"/>
      <c r="D100" s="18" t="s">
        <v>120</v>
      </c>
      <c r="E100" s="11"/>
      <c r="F100" s="11"/>
      <c r="G100" s="16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</row>
    <row r="101" spans="1:108" x14ac:dyDescent="0.3">
      <c r="A101" s="9" t="s">
        <v>248</v>
      </c>
      <c r="C101" s="2" t="s">
        <v>249</v>
      </c>
      <c r="D101" s="13">
        <f t="shared" si="2"/>
        <v>356.53</v>
      </c>
      <c r="E101" s="17"/>
      <c r="F101" s="17"/>
      <c r="G101" s="14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>
        <v>356.53</v>
      </c>
      <c r="AH101" s="17"/>
      <c r="AI101" s="17"/>
      <c r="AJ101" s="17"/>
      <c r="AK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</row>
    <row r="102" spans="1:108" s="10" customFormat="1" x14ac:dyDescent="0.3">
      <c r="A102" s="15"/>
      <c r="D102" s="18" t="s">
        <v>120</v>
      </c>
      <c r="E102" s="11"/>
      <c r="F102" s="11"/>
      <c r="G102" s="16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</row>
    <row r="103" spans="1:108" x14ac:dyDescent="0.3">
      <c r="A103" s="9" t="s">
        <v>250</v>
      </c>
      <c r="B103" s="2" t="s">
        <v>149</v>
      </c>
      <c r="C103" s="2" t="s">
        <v>251</v>
      </c>
      <c r="D103" s="13">
        <f t="shared" si="2"/>
        <v>162.91</v>
      </c>
      <c r="E103" s="17"/>
      <c r="F103" s="17"/>
      <c r="G103" s="14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>
        <v>162.91</v>
      </c>
      <c r="AC103" s="17"/>
      <c r="AD103" s="17"/>
      <c r="AE103" s="17"/>
      <c r="AF103" s="17"/>
      <c r="AG103" s="17"/>
      <c r="AH103" s="17"/>
      <c r="AI103" s="17"/>
      <c r="AJ103" s="17"/>
      <c r="AK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</row>
    <row r="104" spans="1:108" s="10" customFormat="1" x14ac:dyDescent="0.3">
      <c r="A104" s="15"/>
      <c r="D104" s="18" t="s">
        <v>120</v>
      </c>
      <c r="E104" s="11"/>
      <c r="F104" s="11"/>
      <c r="G104" s="16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</row>
    <row r="105" spans="1:108" x14ac:dyDescent="0.3">
      <c r="A105" s="9" t="s">
        <v>252</v>
      </c>
      <c r="B105" s="2" t="s">
        <v>253</v>
      </c>
      <c r="C105" s="2" t="s">
        <v>254</v>
      </c>
      <c r="D105" s="13">
        <f t="shared" si="2"/>
        <v>357.78999999999996</v>
      </c>
      <c r="E105" s="17"/>
      <c r="F105" s="17"/>
      <c r="G105" s="14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>
        <v>61.4</v>
      </c>
      <c r="AK105" s="3"/>
      <c r="AL105" s="3">
        <v>86.42</v>
      </c>
      <c r="AW105" s="3">
        <v>77.930000000000007</v>
      </c>
      <c r="AX105" s="3">
        <v>132.04</v>
      </c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</row>
    <row r="106" spans="1:108" x14ac:dyDescent="0.3">
      <c r="A106" s="9"/>
      <c r="B106" s="2" t="s">
        <v>255</v>
      </c>
      <c r="C106" s="2" t="s">
        <v>256</v>
      </c>
      <c r="D106" s="13">
        <f t="shared" si="2"/>
        <v>277.68</v>
      </c>
      <c r="E106" s="17"/>
      <c r="F106" s="17"/>
      <c r="G106" s="14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3"/>
      <c r="AQ106" s="3">
        <v>120.91</v>
      </c>
      <c r="AU106" s="3">
        <v>156.77000000000001</v>
      </c>
      <c r="AW106" s="3" t="s">
        <v>120</v>
      </c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</row>
    <row r="107" spans="1:108" s="10" customFormat="1" x14ac:dyDescent="0.3">
      <c r="A107" s="15"/>
      <c r="D107" s="18" t="s">
        <v>120</v>
      </c>
      <c r="E107" s="11"/>
      <c r="F107" s="11"/>
      <c r="G107" s="16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</row>
    <row r="108" spans="1:108" x14ac:dyDescent="0.3">
      <c r="A108" s="9" t="s">
        <v>257</v>
      </c>
      <c r="B108" s="2" t="s">
        <v>258</v>
      </c>
      <c r="C108" s="2" t="s">
        <v>259</v>
      </c>
      <c r="D108" s="13">
        <f t="shared" si="2"/>
        <v>614.53</v>
      </c>
      <c r="E108" s="3"/>
      <c r="F108" s="3"/>
      <c r="G108" s="3"/>
      <c r="H108" s="3"/>
      <c r="I108" s="3"/>
      <c r="J108" s="3"/>
      <c r="K108" s="3"/>
      <c r="L108" s="3"/>
      <c r="M108" s="3">
        <v>164.9</v>
      </c>
      <c r="N108" s="3"/>
      <c r="O108" s="3"/>
      <c r="P108" s="3"/>
      <c r="Q108" s="3">
        <v>176.53</v>
      </c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>
        <v>273.10000000000002</v>
      </c>
      <c r="AE108" s="3"/>
      <c r="AF108" s="3"/>
      <c r="AG108" s="3"/>
      <c r="AH108" s="3"/>
      <c r="AI108" s="3"/>
      <c r="AJ108" s="3"/>
      <c r="AK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</row>
    <row r="109" spans="1:108" x14ac:dyDescent="0.3">
      <c r="A109" s="9"/>
      <c r="B109" s="2" t="s">
        <v>260</v>
      </c>
      <c r="C109" s="2" t="s">
        <v>261</v>
      </c>
      <c r="D109" s="13">
        <f t="shared" si="2"/>
        <v>80.239999999999995</v>
      </c>
      <c r="E109" s="3"/>
      <c r="F109" s="3"/>
      <c r="G109" s="3"/>
      <c r="H109" s="3"/>
      <c r="I109" s="3"/>
      <c r="J109" s="3"/>
      <c r="K109" s="3"/>
      <c r="L109" s="3">
        <v>80.239999999999995</v>
      </c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</row>
    <row r="110" spans="1:108" x14ac:dyDescent="0.3">
      <c r="A110" s="9"/>
      <c r="B110" s="2" t="s">
        <v>262</v>
      </c>
      <c r="C110" s="2" t="s">
        <v>263</v>
      </c>
      <c r="D110" s="13">
        <f t="shared" si="2"/>
        <v>363.26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>
        <v>363.26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</row>
    <row r="111" spans="1:108" x14ac:dyDescent="0.3">
      <c r="A111" s="9"/>
      <c r="C111" s="2" t="s">
        <v>264</v>
      </c>
      <c r="D111" s="13">
        <f t="shared" si="2"/>
        <v>370.41</v>
      </c>
      <c r="E111" s="3"/>
      <c r="F111" s="3"/>
      <c r="G111" s="3"/>
      <c r="H111" s="3">
        <v>167.3</v>
      </c>
      <c r="I111" s="3"/>
      <c r="J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V111" s="3">
        <v>203.11</v>
      </c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</row>
    <row r="112" spans="1:108" x14ac:dyDescent="0.3">
      <c r="A112" s="9" t="s">
        <v>120</v>
      </c>
      <c r="B112" s="2" t="s">
        <v>265</v>
      </c>
      <c r="C112" s="2" t="s">
        <v>266</v>
      </c>
      <c r="D112" s="13">
        <f t="shared" si="2"/>
        <v>7050.2</v>
      </c>
      <c r="E112" s="3"/>
      <c r="F112" s="3"/>
      <c r="G112" s="3"/>
      <c r="H112" s="3"/>
      <c r="I112" s="3"/>
      <c r="J112" s="3">
        <f>130.85+149.43+124.69</f>
        <v>404.96999999999997</v>
      </c>
      <c r="K112" s="3">
        <f>187.65+159.26+158.49+261.1</f>
        <v>766.5</v>
      </c>
      <c r="L112" s="3">
        <v>132.08000000000001</v>
      </c>
      <c r="M112" s="3"/>
      <c r="N112" s="3"/>
      <c r="O112" s="3"/>
      <c r="P112" s="3"/>
      <c r="Q112" s="3">
        <f>124.69+159.26</f>
        <v>283.95</v>
      </c>
      <c r="R112" s="3">
        <v>271.60000000000002</v>
      </c>
      <c r="S112" s="3">
        <f>115.28+158.03</f>
        <v>273.31</v>
      </c>
      <c r="T112" s="3"/>
      <c r="U112" s="3">
        <v>135.72999999999999</v>
      </c>
      <c r="V112" s="3"/>
      <c r="W112" s="3">
        <f>163.88+86.42</f>
        <v>250.3</v>
      </c>
      <c r="X112" s="3"/>
      <c r="Y112" s="3"/>
      <c r="Z112" s="3">
        <v>115.41</v>
      </c>
      <c r="AA112" s="3"/>
      <c r="AB112" s="3">
        <v>70.86</v>
      </c>
      <c r="AC112" s="3"/>
      <c r="AD112" s="3"/>
      <c r="AE112" s="3">
        <v>70.86</v>
      </c>
      <c r="AF112" s="3"/>
      <c r="AG112" s="3">
        <f>244.31+277.5</f>
        <v>521.80999999999995</v>
      </c>
      <c r="AH112" s="3"/>
      <c r="AI112" s="3">
        <v>175.37</v>
      </c>
      <c r="AJ112" s="3"/>
      <c r="AK112" s="3">
        <f>250.27+151.16</f>
        <v>401.43</v>
      </c>
      <c r="AM112" s="3">
        <f>154.68+70.85</f>
        <v>225.53</v>
      </c>
      <c r="AO112" s="3">
        <v>122.15</v>
      </c>
      <c r="AP112" s="3">
        <f>240.81+213.74</f>
        <v>454.55</v>
      </c>
      <c r="AQ112" s="3">
        <v>182.99</v>
      </c>
      <c r="AS112" s="3">
        <f>224.35+193.66+178.32</f>
        <v>596.32999999999993</v>
      </c>
      <c r="AT112" s="3">
        <f>254.37+124</f>
        <v>378.37</v>
      </c>
      <c r="AU112" s="3">
        <v>34.24</v>
      </c>
      <c r="AV112" s="3">
        <v>174.77</v>
      </c>
      <c r="AW112" s="3">
        <v>205.45</v>
      </c>
      <c r="AX112" s="3"/>
      <c r="AY112" s="3"/>
      <c r="AZ112" s="3">
        <v>180.67</v>
      </c>
      <c r="BA112" s="3">
        <v>72.02</v>
      </c>
      <c r="BB112" s="3">
        <v>267.91000000000003</v>
      </c>
      <c r="BC112" s="3">
        <v>181.85</v>
      </c>
      <c r="BD112" s="3">
        <v>99.19</v>
      </c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</row>
    <row r="113" spans="1:108" x14ac:dyDescent="0.3">
      <c r="A113" s="9"/>
      <c r="C113" s="2" t="s">
        <v>267</v>
      </c>
      <c r="D113" s="13">
        <f t="shared" si="2"/>
        <v>219.87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>
        <v>219.87</v>
      </c>
      <c r="P113" s="3" t="s">
        <v>120</v>
      </c>
      <c r="Q113" s="3" t="s">
        <v>120</v>
      </c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</row>
    <row r="114" spans="1:108" x14ac:dyDescent="0.3">
      <c r="A114" s="9"/>
      <c r="B114" s="2" t="s">
        <v>268</v>
      </c>
      <c r="C114" s="2" t="s">
        <v>269</v>
      </c>
      <c r="D114" s="13">
        <f t="shared" si="2"/>
        <v>297.59000000000003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>
        <v>139.56</v>
      </c>
      <c r="Q114" s="3" t="s">
        <v>120</v>
      </c>
      <c r="R114" s="3"/>
      <c r="S114" s="3"/>
      <c r="T114" s="3"/>
      <c r="U114" s="3"/>
      <c r="V114" s="3"/>
      <c r="W114" s="3"/>
      <c r="X114" s="3"/>
      <c r="Y114" s="3">
        <v>158.03</v>
      </c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</row>
    <row r="115" spans="1:108" x14ac:dyDescent="0.3">
      <c r="A115" s="9"/>
      <c r="C115" s="2" t="s">
        <v>270</v>
      </c>
      <c r="D115" s="13">
        <f t="shared" si="2"/>
        <v>241.41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>
        <v>241.41</v>
      </c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X115" s="3"/>
      <c r="AY115" s="8"/>
      <c r="AZ115" s="8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</row>
    <row r="116" spans="1:108" x14ac:dyDescent="0.3">
      <c r="A116" s="9"/>
      <c r="B116" s="2" t="s">
        <v>271</v>
      </c>
      <c r="C116" s="2" t="s">
        <v>272</v>
      </c>
      <c r="D116" s="13">
        <f t="shared" si="2"/>
        <v>235.98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Q116" s="3">
        <v>235.98</v>
      </c>
      <c r="AX116" s="3"/>
      <c r="AY116" s="8"/>
      <c r="AZ116" s="8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</row>
    <row r="117" spans="1:108" s="10" customFormat="1" x14ac:dyDescent="0.3">
      <c r="A117" s="15"/>
      <c r="D117" s="18" t="s">
        <v>120</v>
      </c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2"/>
      <c r="AZ117" s="12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</row>
    <row r="118" spans="1:108" x14ac:dyDescent="0.3">
      <c r="A118" s="9" t="s">
        <v>273</v>
      </c>
      <c r="B118" s="2" t="s">
        <v>274</v>
      </c>
      <c r="C118" s="2" t="s">
        <v>275</v>
      </c>
      <c r="D118" s="13">
        <f t="shared" si="2"/>
        <v>505.07</v>
      </c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>
        <v>505.07</v>
      </c>
      <c r="AM118" s="17"/>
      <c r="AN118" s="17"/>
      <c r="AX118" s="3"/>
      <c r="AY118" s="8"/>
      <c r="AZ118" s="8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</row>
    <row r="119" spans="1:108" s="10" customFormat="1" x14ac:dyDescent="0.3">
      <c r="A119" s="15"/>
      <c r="D119" s="18" t="s">
        <v>120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2"/>
      <c r="AZ119" s="12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</row>
    <row r="120" spans="1:108" x14ac:dyDescent="0.3">
      <c r="A120" s="9" t="s">
        <v>276</v>
      </c>
      <c r="B120" s="2" t="s">
        <v>172</v>
      </c>
      <c r="C120" s="2" t="s">
        <v>277</v>
      </c>
      <c r="D120" s="13">
        <f t="shared" si="2"/>
        <v>508.21999999999997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>
        <v>239.88</v>
      </c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O120" s="3">
        <v>268.33999999999997</v>
      </c>
      <c r="AX120" s="3"/>
      <c r="AY120" s="8"/>
      <c r="AZ120" s="8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</row>
    <row r="121" spans="1:108" x14ac:dyDescent="0.3">
      <c r="A121" s="9"/>
      <c r="D121" s="13">
        <f t="shared" si="2"/>
        <v>0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X121" s="3"/>
      <c r="AY121" s="8"/>
      <c r="AZ121" s="8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/>
    </row>
    <row r="122" spans="1:108" s="10" customFormat="1" x14ac:dyDescent="0.3">
      <c r="A122" s="15"/>
      <c r="D122" s="18" t="s">
        <v>120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2"/>
      <c r="AZ122" s="12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</row>
    <row r="123" spans="1:108" x14ac:dyDescent="0.3">
      <c r="A123" s="9" t="s">
        <v>278</v>
      </c>
      <c r="B123" s="2" t="s">
        <v>279</v>
      </c>
      <c r="C123" s="2" t="s">
        <v>280</v>
      </c>
      <c r="D123" s="13">
        <f t="shared" si="2"/>
        <v>604.65</v>
      </c>
      <c r="E123" s="3"/>
      <c r="F123" s="3"/>
      <c r="G123" s="3"/>
      <c r="H123" s="3"/>
      <c r="I123" s="3"/>
      <c r="J123" s="3">
        <v>268.37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R123" s="3">
        <v>336.28</v>
      </c>
      <c r="AX123" s="3"/>
      <c r="AY123" s="8"/>
      <c r="AZ123" s="8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</row>
    <row r="124" spans="1:108" s="10" customFormat="1" x14ac:dyDescent="0.3">
      <c r="A124" s="15"/>
      <c r="D124" s="18" t="s">
        <v>120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2"/>
      <c r="AZ124" s="12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</row>
    <row r="125" spans="1:108" x14ac:dyDescent="0.3">
      <c r="A125" s="9" t="s">
        <v>281</v>
      </c>
      <c r="B125" s="2" t="s">
        <v>282</v>
      </c>
      <c r="C125" s="2" t="s">
        <v>283</v>
      </c>
      <c r="D125" s="13">
        <f t="shared" si="2"/>
        <v>979.13000000000011</v>
      </c>
      <c r="E125" s="3"/>
      <c r="F125" s="3"/>
      <c r="G125" s="3"/>
      <c r="H125" s="3"/>
      <c r="I125" s="3"/>
      <c r="J125" s="3">
        <v>153.33000000000001</v>
      </c>
      <c r="K125" s="3">
        <v>115.21</v>
      </c>
      <c r="L125" s="3">
        <v>79.239999999999995</v>
      </c>
      <c r="M125" s="3">
        <v>139.91</v>
      </c>
      <c r="N125" s="3">
        <v>115.75</v>
      </c>
      <c r="O125" s="3">
        <v>136.13999999999999</v>
      </c>
      <c r="P125" s="3">
        <v>100.72</v>
      </c>
      <c r="Q125" s="3">
        <f>138.83</f>
        <v>138.83000000000001</v>
      </c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X125" s="3"/>
      <c r="AY125" s="8"/>
      <c r="AZ125" s="8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</row>
    <row r="126" spans="1:108" x14ac:dyDescent="0.3">
      <c r="A126" s="9" t="s">
        <v>120</v>
      </c>
      <c r="B126" s="2" t="s">
        <v>284</v>
      </c>
      <c r="C126" s="2" t="s">
        <v>285</v>
      </c>
      <c r="D126" s="13">
        <f t="shared" si="2"/>
        <v>5775.87</v>
      </c>
      <c r="E126" s="3"/>
      <c r="F126" s="3"/>
      <c r="G126" s="3"/>
      <c r="H126" s="3"/>
      <c r="I126" s="3"/>
      <c r="J126" s="3" t="s">
        <v>120</v>
      </c>
      <c r="K126" s="3">
        <v>379.74</v>
      </c>
      <c r="L126" s="3"/>
      <c r="M126" s="3">
        <v>351.83</v>
      </c>
      <c r="N126" s="3">
        <v>460.3</v>
      </c>
      <c r="O126" s="3"/>
      <c r="P126" s="3">
        <v>350.61</v>
      </c>
      <c r="Q126" s="3">
        <v>418.41</v>
      </c>
      <c r="R126" s="3"/>
      <c r="S126" s="3"/>
      <c r="T126" s="3"/>
      <c r="U126" s="3"/>
      <c r="V126" s="3"/>
      <c r="W126" s="3">
        <v>489.43</v>
      </c>
      <c r="X126" s="3">
        <v>316.93</v>
      </c>
      <c r="Y126" s="3">
        <v>369.03</v>
      </c>
      <c r="Z126" s="3"/>
      <c r="AA126" s="3">
        <v>364.99</v>
      </c>
      <c r="AB126" s="3">
        <v>381.92</v>
      </c>
      <c r="AC126" s="3">
        <v>410.91</v>
      </c>
      <c r="AD126" s="3"/>
      <c r="AE126" s="3"/>
      <c r="AF126" s="3">
        <v>402.85</v>
      </c>
      <c r="AG126" s="3" t="s">
        <v>120</v>
      </c>
      <c r="AH126" s="3">
        <v>391.59</v>
      </c>
      <c r="AI126" s="3"/>
      <c r="AJ126" s="3"/>
      <c r="AK126" s="3"/>
      <c r="AR126" s="3">
        <v>288.22000000000003</v>
      </c>
      <c r="AW126" s="3">
        <v>399.11</v>
      </c>
      <c r="AX126" s="3"/>
      <c r="AY126" s="8"/>
      <c r="AZ126" s="8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</row>
    <row r="127" spans="1:108" x14ac:dyDescent="0.3">
      <c r="A127" s="9"/>
      <c r="B127" s="2" t="s">
        <v>286</v>
      </c>
      <c r="C127" s="2" t="s">
        <v>287</v>
      </c>
      <c r="D127" s="13">
        <f t="shared" si="2"/>
        <v>373.29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>
        <v>373.29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 t="s">
        <v>120</v>
      </c>
      <c r="AB127" s="3"/>
      <c r="AC127" s="3" t="s">
        <v>120</v>
      </c>
      <c r="AD127" s="3"/>
      <c r="AE127" s="3"/>
      <c r="AF127" s="3"/>
      <c r="AG127" s="3"/>
      <c r="AH127" s="3"/>
      <c r="AI127" s="3"/>
      <c r="AJ127" s="3"/>
      <c r="AK127" s="3"/>
      <c r="AX127" s="3"/>
      <c r="AY127" s="8"/>
      <c r="AZ127" s="8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</row>
    <row r="128" spans="1:108" x14ac:dyDescent="0.3">
      <c r="A128" s="9"/>
      <c r="B128" s="2" t="s">
        <v>288</v>
      </c>
      <c r="C128" s="2" t="s">
        <v>289</v>
      </c>
      <c r="D128" s="13">
        <f t="shared" si="2"/>
        <v>402.69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>
        <v>402.69</v>
      </c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X128" s="3"/>
      <c r="AY128" s="8"/>
      <c r="AZ128" s="8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8"/>
    </row>
    <row r="129" spans="1:108" x14ac:dyDescent="0.3">
      <c r="A129" s="9"/>
      <c r="B129" s="2" t="s">
        <v>290</v>
      </c>
      <c r="C129" s="2" t="s">
        <v>291</v>
      </c>
      <c r="D129" s="13">
        <f t="shared" si="2"/>
        <v>28.08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>
        <v>28.08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X129" s="3"/>
      <c r="AY129" s="8"/>
      <c r="AZ129" s="8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  <c r="DD129" s="8"/>
    </row>
    <row r="130" spans="1:108" x14ac:dyDescent="0.3">
      <c r="A130" s="9"/>
      <c r="B130" s="2" t="s">
        <v>292</v>
      </c>
      <c r="C130" s="2" t="s">
        <v>293</v>
      </c>
      <c r="D130" s="13">
        <f t="shared" si="2"/>
        <v>272.17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U130" s="3">
        <v>272.17</v>
      </c>
      <c r="AX130" s="3"/>
      <c r="AY130" s="8"/>
      <c r="AZ130" s="8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</row>
    <row r="131" spans="1:108" x14ac:dyDescent="0.3">
      <c r="A131" s="9"/>
      <c r="B131" s="2" t="s">
        <v>149</v>
      </c>
      <c r="C131" s="2" t="s">
        <v>294</v>
      </c>
      <c r="D131" s="13">
        <f t="shared" si="2"/>
        <v>356.95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X131" s="3">
        <v>356.95</v>
      </c>
      <c r="AY131" s="8"/>
      <c r="AZ131" s="8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</row>
    <row r="132" spans="1:108" s="10" customFormat="1" x14ac:dyDescent="0.3">
      <c r="A132" s="15"/>
      <c r="D132" s="18" t="s">
        <v>120</v>
      </c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2"/>
      <c r="AZ132" s="12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</row>
    <row r="133" spans="1:108" x14ac:dyDescent="0.3">
      <c r="A133" s="9" t="s">
        <v>295</v>
      </c>
      <c r="B133" s="2" t="s">
        <v>296</v>
      </c>
      <c r="C133" s="2" t="s">
        <v>297</v>
      </c>
      <c r="D133" s="13">
        <f t="shared" si="2"/>
        <v>118.76</v>
      </c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>
        <v>118.76</v>
      </c>
      <c r="AB133" s="17"/>
      <c r="AC133" s="17"/>
      <c r="AD133" s="17"/>
      <c r="AE133" s="17"/>
      <c r="AF133" s="17"/>
      <c r="AG133" s="17"/>
      <c r="AH133" s="17"/>
      <c r="AI133" s="17"/>
      <c r="AJ133" s="17"/>
      <c r="AK133" s="3"/>
      <c r="AX133" s="3"/>
      <c r="AY133" s="8"/>
      <c r="AZ133" s="8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</row>
    <row r="134" spans="1:108" s="10" customFormat="1" x14ac:dyDescent="0.3">
      <c r="A134" s="15"/>
      <c r="D134" s="18" t="s">
        <v>120</v>
      </c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2"/>
      <c r="AZ134" s="12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</row>
    <row r="135" spans="1:108" x14ac:dyDescent="0.3">
      <c r="A135" s="9" t="s">
        <v>298</v>
      </c>
      <c r="B135" s="2" t="s">
        <v>299</v>
      </c>
      <c r="C135" s="2" t="s">
        <v>300</v>
      </c>
      <c r="D135" s="13">
        <f t="shared" si="2"/>
        <v>266.56</v>
      </c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>
        <v>266.56</v>
      </c>
      <c r="AD135" s="17"/>
      <c r="AE135" s="17"/>
      <c r="AF135" s="17"/>
      <c r="AG135" s="17"/>
      <c r="AH135" s="17"/>
      <c r="AI135" s="17"/>
      <c r="AJ135" s="17"/>
      <c r="AK135" s="3"/>
      <c r="AX135" s="3"/>
      <c r="AY135" s="8"/>
      <c r="AZ135" s="8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8"/>
    </row>
    <row r="136" spans="1:108" x14ac:dyDescent="0.3">
      <c r="A136" s="9"/>
      <c r="D136" s="18" t="s">
        <v>120</v>
      </c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3"/>
      <c r="AX136" s="3"/>
      <c r="AY136" s="8"/>
      <c r="AZ136" s="8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8"/>
      <c r="DC136" s="8"/>
      <c r="DD136" s="8"/>
    </row>
    <row r="137" spans="1:108" s="21" customFormat="1" x14ac:dyDescent="0.3">
      <c r="A137" s="20" t="s">
        <v>301</v>
      </c>
      <c r="B137" s="21" t="s">
        <v>302</v>
      </c>
      <c r="C137" s="21" t="s">
        <v>303</v>
      </c>
      <c r="D137" s="13">
        <f t="shared" si="2"/>
        <v>517.25</v>
      </c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>
        <v>517.25</v>
      </c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3"/>
      <c r="AZ137" s="23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  <c r="DA137" s="23"/>
      <c r="DB137" s="23"/>
      <c r="DC137" s="23"/>
      <c r="DD137" s="23"/>
    </row>
    <row r="138" spans="1:108" x14ac:dyDescent="0.3">
      <c r="A138" s="9"/>
      <c r="B138" s="2" t="s">
        <v>304</v>
      </c>
      <c r="C138" s="24" t="s">
        <v>305</v>
      </c>
      <c r="D138" s="13">
        <f t="shared" si="2"/>
        <v>398.13</v>
      </c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>
        <f>112.35+104.32</f>
        <v>216.67</v>
      </c>
      <c r="AG138" s="17">
        <v>53.07</v>
      </c>
      <c r="AH138" s="17"/>
      <c r="AI138" s="17"/>
      <c r="AJ138" s="17"/>
      <c r="AK138" s="3"/>
      <c r="AL138" s="3">
        <f>63.58+64.81</f>
        <v>128.38999999999999</v>
      </c>
      <c r="AX138" s="3"/>
      <c r="AY138" s="8"/>
      <c r="AZ138" s="8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8"/>
    </row>
    <row r="139" spans="1:108" x14ac:dyDescent="0.3">
      <c r="A139" s="9"/>
      <c r="B139" s="2" t="s">
        <v>306</v>
      </c>
      <c r="C139" s="24" t="s">
        <v>307</v>
      </c>
      <c r="D139" s="13">
        <f t="shared" si="2"/>
        <v>83</v>
      </c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3"/>
      <c r="AX139" s="3"/>
      <c r="AY139" s="8"/>
      <c r="AZ139" s="8"/>
      <c r="BA139" s="3"/>
      <c r="BB139" s="3"/>
      <c r="BC139" s="3">
        <v>83</v>
      </c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</row>
    <row r="140" spans="1:108" s="10" customFormat="1" x14ac:dyDescent="0.3">
      <c r="A140" s="15"/>
      <c r="C140" s="25"/>
      <c r="D140" s="18" t="s">
        <v>120</v>
      </c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2"/>
      <c r="AZ140" s="12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</row>
    <row r="141" spans="1:108" x14ac:dyDescent="0.3">
      <c r="A141" s="9" t="s">
        <v>308</v>
      </c>
      <c r="B141" s="2" t="s">
        <v>309</v>
      </c>
      <c r="C141" s="24" t="s">
        <v>310</v>
      </c>
      <c r="D141" s="13">
        <f t="shared" si="2"/>
        <v>178.2</v>
      </c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3"/>
      <c r="AS141" s="3">
        <v>178.2</v>
      </c>
      <c r="AX141" s="3"/>
      <c r="AY141" s="8"/>
      <c r="AZ141" s="8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8"/>
    </row>
    <row r="142" spans="1:108" s="10" customFormat="1" x14ac:dyDescent="0.3">
      <c r="A142" s="15"/>
      <c r="C142" s="25"/>
      <c r="D142" s="18" t="s">
        <v>120</v>
      </c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2"/>
      <c r="AZ142" s="12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</row>
    <row r="143" spans="1:108" x14ac:dyDescent="0.3">
      <c r="A143" s="9" t="s">
        <v>311</v>
      </c>
      <c r="B143" s="2" t="s">
        <v>312</v>
      </c>
      <c r="C143" s="24" t="s">
        <v>313</v>
      </c>
      <c r="D143" s="13">
        <f t="shared" si="2"/>
        <v>165.29</v>
      </c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3"/>
      <c r="AX143" s="3"/>
      <c r="AY143" s="8"/>
      <c r="AZ143" s="8"/>
      <c r="BA143" s="3"/>
      <c r="BB143" s="3"/>
      <c r="BC143" s="3">
        <v>165.29</v>
      </c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  <c r="DD143" s="8"/>
    </row>
    <row r="144" spans="1:108" s="10" customFormat="1" x14ac:dyDescent="0.3">
      <c r="A144" s="15"/>
      <c r="D144" s="18" t="s">
        <v>120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2"/>
      <c r="AZ144" s="12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</row>
    <row r="145" spans="1:108" x14ac:dyDescent="0.3">
      <c r="A145" s="9" t="s">
        <v>314</v>
      </c>
      <c r="B145" s="2" t="s">
        <v>315</v>
      </c>
      <c r="C145" s="2" t="s">
        <v>316</v>
      </c>
      <c r="D145" s="13">
        <f t="shared" si="2"/>
        <v>94.73</v>
      </c>
      <c r="E145" s="3"/>
      <c r="F145" s="3"/>
      <c r="G145" s="3"/>
      <c r="H145" s="3"/>
      <c r="I145" s="3"/>
      <c r="J145" s="3">
        <v>94.73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X145" s="3"/>
      <c r="AY145" s="8"/>
      <c r="AZ145" s="8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</row>
    <row r="146" spans="1:108" x14ac:dyDescent="0.3">
      <c r="A146" s="9" t="s">
        <v>120</v>
      </c>
      <c r="B146" s="2" t="s">
        <v>317</v>
      </c>
      <c r="C146" s="2" t="s">
        <v>318</v>
      </c>
      <c r="D146" s="13">
        <f t="shared" si="2"/>
        <v>117.3</v>
      </c>
      <c r="E146" s="3"/>
      <c r="F146" s="3"/>
      <c r="G146" s="3"/>
      <c r="H146" s="3"/>
      <c r="I146" s="3"/>
      <c r="J146" s="3">
        <v>117.3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X146" s="3"/>
      <c r="AY146" s="8"/>
      <c r="AZ146" s="8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</row>
    <row r="147" spans="1:108" x14ac:dyDescent="0.3">
      <c r="A147" s="9"/>
      <c r="B147" s="2" t="s">
        <v>149</v>
      </c>
      <c r="D147" s="13">
        <f t="shared" si="2"/>
        <v>125.6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>
        <v>125.6</v>
      </c>
      <c r="AH147" s="3"/>
      <c r="AI147" s="3"/>
      <c r="AJ147" s="3"/>
      <c r="AK147" s="3"/>
      <c r="AX147" s="3"/>
      <c r="AY147" s="8"/>
      <c r="AZ147" s="8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</row>
    <row r="148" spans="1:108" x14ac:dyDescent="0.3">
      <c r="A148" s="9"/>
      <c r="B148" s="2" t="s">
        <v>319</v>
      </c>
      <c r="C148" s="2" t="s">
        <v>320</v>
      </c>
      <c r="D148" s="13">
        <f t="shared" ref="D148:D172" si="3">SUM(E148:BD148)</f>
        <v>808.93000000000006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>
        <v>171.43</v>
      </c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>
        <v>252.96</v>
      </c>
      <c r="AH148" s="3"/>
      <c r="AI148" s="3"/>
      <c r="AJ148" s="3"/>
      <c r="AK148" s="3"/>
      <c r="AX148" s="3"/>
      <c r="AY148" s="8"/>
      <c r="AZ148" s="8"/>
      <c r="BA148" s="3"/>
      <c r="BB148" s="3">
        <v>384.54</v>
      </c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</row>
    <row r="149" spans="1:108" x14ac:dyDescent="0.3">
      <c r="A149" s="9" t="s">
        <v>120</v>
      </c>
      <c r="B149" s="2" t="s">
        <v>321</v>
      </c>
      <c r="C149" s="2" t="s">
        <v>322</v>
      </c>
      <c r="D149" s="13">
        <f t="shared" si="3"/>
        <v>169.72</v>
      </c>
      <c r="E149" s="3"/>
      <c r="F149" s="3"/>
      <c r="G149" s="3"/>
      <c r="H149" s="3"/>
      <c r="I149" s="3"/>
      <c r="J149" s="3">
        <v>169.72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X149" s="3"/>
      <c r="AY149" s="8"/>
      <c r="AZ149" s="8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</row>
    <row r="150" spans="1:108" x14ac:dyDescent="0.3">
      <c r="A150" s="9"/>
      <c r="B150" s="2" t="s">
        <v>323</v>
      </c>
      <c r="C150" s="2" t="s">
        <v>324</v>
      </c>
      <c r="D150" s="13">
        <f t="shared" si="3"/>
        <v>1113.3800000000001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>
        <v>225.92</v>
      </c>
      <c r="S150" s="3"/>
      <c r="T150" s="3"/>
      <c r="U150" s="3"/>
      <c r="V150" s="3"/>
      <c r="W150" s="3"/>
      <c r="X150" s="3"/>
      <c r="Y150" s="3">
        <v>333.33</v>
      </c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O150" s="3">
        <v>218.49</v>
      </c>
      <c r="AT150" s="3">
        <v>160.47999999999999</v>
      </c>
      <c r="AX150" s="3"/>
      <c r="AY150" s="8"/>
      <c r="AZ150" s="8"/>
      <c r="BA150" s="3"/>
      <c r="BB150" s="3">
        <v>175.16</v>
      </c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</row>
    <row r="151" spans="1:108" x14ac:dyDescent="0.3">
      <c r="A151" s="9"/>
      <c r="B151" s="2" t="s">
        <v>325</v>
      </c>
      <c r="C151" s="2" t="s">
        <v>326</v>
      </c>
      <c r="D151" s="13">
        <f t="shared" si="3"/>
        <v>150.74</v>
      </c>
      <c r="E151" s="3"/>
      <c r="F151" s="3"/>
      <c r="G151" s="3"/>
      <c r="H151" s="3"/>
      <c r="I151" s="3"/>
      <c r="J151" s="3"/>
      <c r="K151" s="3"/>
      <c r="L151" s="3"/>
      <c r="M151" s="3"/>
      <c r="N151" s="3">
        <v>150.74</v>
      </c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X151" s="3"/>
      <c r="AY151" s="8"/>
      <c r="AZ151" s="8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</row>
    <row r="152" spans="1:108" x14ac:dyDescent="0.3">
      <c r="A152" s="9"/>
      <c r="B152" s="2" t="s">
        <v>327</v>
      </c>
      <c r="C152" s="2" t="s">
        <v>328</v>
      </c>
      <c r="D152" s="13">
        <f t="shared" si="3"/>
        <v>648.69000000000005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>
        <v>215.94</v>
      </c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>
        <v>222.57</v>
      </c>
      <c r="AC152" s="3"/>
      <c r="AD152" s="3"/>
      <c r="AE152" s="3"/>
      <c r="AF152" s="3"/>
      <c r="AG152" s="3"/>
      <c r="AH152" s="3"/>
      <c r="AI152" s="3"/>
      <c r="AJ152" s="3"/>
      <c r="AK152" s="3"/>
      <c r="AX152" s="3"/>
      <c r="AY152" s="8"/>
      <c r="AZ152" s="8"/>
      <c r="BA152" s="3"/>
      <c r="BB152" s="3">
        <v>210.18</v>
      </c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</row>
    <row r="153" spans="1:108" x14ac:dyDescent="0.3">
      <c r="A153" s="9"/>
      <c r="C153" s="2" t="s">
        <v>329</v>
      </c>
      <c r="D153" s="13">
        <f t="shared" si="3"/>
        <v>180.68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180.68</v>
      </c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X153" s="3"/>
      <c r="AY153" s="8"/>
      <c r="AZ153" s="8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</row>
    <row r="154" spans="1:108" x14ac:dyDescent="0.3">
      <c r="A154" s="9"/>
      <c r="B154" s="2" t="s">
        <v>330</v>
      </c>
      <c r="C154" s="2" t="s">
        <v>331</v>
      </c>
      <c r="D154" s="13">
        <f t="shared" si="3"/>
        <v>403.09000000000003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>
        <v>245.06</v>
      </c>
      <c r="AE154" s="3"/>
      <c r="AF154" s="3"/>
      <c r="AG154" s="3"/>
      <c r="AH154" s="3"/>
      <c r="AI154" s="3"/>
      <c r="AJ154" s="3"/>
      <c r="AK154" s="3"/>
      <c r="AQ154" s="3">
        <v>158.03</v>
      </c>
      <c r="AX154" s="3"/>
      <c r="AY154" s="8"/>
      <c r="AZ154" s="8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</row>
    <row r="155" spans="1:108" x14ac:dyDescent="0.3">
      <c r="A155" s="9"/>
      <c r="B155" s="2" t="s">
        <v>332</v>
      </c>
      <c r="C155" s="2" t="s">
        <v>333</v>
      </c>
      <c r="D155" s="13">
        <f t="shared" si="3"/>
        <v>206.11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>
        <v>206.11</v>
      </c>
      <c r="AE155" s="3"/>
      <c r="AF155" s="3"/>
      <c r="AG155" s="3"/>
      <c r="AH155" s="3"/>
      <c r="AI155" s="3"/>
      <c r="AJ155" s="3"/>
      <c r="AK155" s="3"/>
      <c r="AX155" s="3"/>
      <c r="AY155" s="8"/>
      <c r="AZ155" s="8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</row>
    <row r="156" spans="1:108" x14ac:dyDescent="0.3">
      <c r="A156" s="9"/>
      <c r="B156" s="2" t="s">
        <v>334</v>
      </c>
      <c r="C156" s="2" t="s">
        <v>335</v>
      </c>
      <c r="D156" s="13">
        <f t="shared" si="3"/>
        <v>656.22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O156" s="3" t="s">
        <v>120</v>
      </c>
      <c r="AP156" s="3">
        <v>656.22</v>
      </c>
      <c r="AX156" s="3"/>
      <c r="AY156" s="8"/>
      <c r="AZ156" s="8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</row>
    <row r="157" spans="1:108" x14ac:dyDescent="0.3">
      <c r="A157" s="9"/>
      <c r="B157" s="2" t="s">
        <v>319</v>
      </c>
      <c r="C157" s="2" t="s">
        <v>336</v>
      </c>
      <c r="D157" s="13">
        <f t="shared" si="3"/>
        <v>265.36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R157" s="3">
        <v>265.36</v>
      </c>
      <c r="AX157" s="3"/>
      <c r="AY157" s="8"/>
      <c r="AZ157" s="8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</row>
    <row r="158" spans="1:108" x14ac:dyDescent="0.3">
      <c r="A158" s="9"/>
      <c r="B158" s="2" t="s">
        <v>337</v>
      </c>
      <c r="C158" s="2" t="s">
        <v>338</v>
      </c>
      <c r="D158" s="13">
        <f t="shared" si="3"/>
        <v>335.35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R158" s="3">
        <v>335.35</v>
      </c>
      <c r="AX158" s="3"/>
      <c r="AY158" s="8"/>
      <c r="AZ158" s="8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</row>
    <row r="159" spans="1:108" x14ac:dyDescent="0.3">
      <c r="A159" s="9"/>
      <c r="B159" s="2" t="s">
        <v>339</v>
      </c>
      <c r="C159" s="2" t="s">
        <v>340</v>
      </c>
      <c r="D159" s="13">
        <f t="shared" si="3"/>
        <v>460.78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S159" s="3">
        <v>460.78</v>
      </c>
      <c r="AX159" s="3"/>
      <c r="AY159" s="8"/>
      <c r="AZ159" s="8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</row>
    <row r="160" spans="1:108" x14ac:dyDescent="0.3">
      <c r="A160" s="9"/>
      <c r="B160" s="2" t="s">
        <v>341</v>
      </c>
      <c r="C160" s="2" t="s">
        <v>342</v>
      </c>
      <c r="D160" s="13">
        <f t="shared" si="3"/>
        <v>316.45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X160" s="3">
        <v>316.45</v>
      </c>
      <c r="AY160" s="8"/>
      <c r="AZ160" s="8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</row>
    <row r="161" spans="1:108" x14ac:dyDescent="0.3">
      <c r="A161" s="9"/>
      <c r="C161" s="2" t="s">
        <v>343</v>
      </c>
      <c r="D161" s="13">
        <f t="shared" si="3"/>
        <v>185.3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X161" s="3"/>
      <c r="AY161" s="3">
        <v>185.3</v>
      </c>
      <c r="AZ161" s="8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</row>
    <row r="162" spans="1:108" s="10" customFormat="1" x14ac:dyDescent="0.3">
      <c r="A162" s="15"/>
      <c r="D162" s="18" t="s">
        <v>120</v>
      </c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2"/>
      <c r="AZ162" s="12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</row>
    <row r="163" spans="1:108" x14ac:dyDescent="0.3">
      <c r="A163" s="9" t="s">
        <v>344</v>
      </c>
      <c r="B163" s="2" t="s">
        <v>345</v>
      </c>
      <c r="C163" s="2" t="s">
        <v>346</v>
      </c>
      <c r="D163" s="13">
        <f t="shared" si="3"/>
        <v>2213.19</v>
      </c>
      <c r="E163" s="3"/>
      <c r="F163" s="3"/>
      <c r="G163" s="3"/>
      <c r="H163" s="3"/>
      <c r="I163" s="3"/>
      <c r="J163" s="3">
        <v>333.63</v>
      </c>
      <c r="K163" s="3"/>
      <c r="L163" s="3"/>
      <c r="M163" s="3"/>
      <c r="N163" s="3"/>
      <c r="O163" s="3">
        <v>904.99</v>
      </c>
      <c r="P163" s="3"/>
      <c r="Q163" s="3">
        <f>106.25+69.77</f>
        <v>176.01999999999998</v>
      </c>
      <c r="R163" s="3">
        <v>91.23</v>
      </c>
      <c r="S163" s="3">
        <f>229.35+180.33</f>
        <v>409.68</v>
      </c>
      <c r="T163" s="3"/>
      <c r="U163" s="3"/>
      <c r="V163" s="3">
        <v>23.4</v>
      </c>
      <c r="W163" s="3"/>
      <c r="X163" s="3"/>
      <c r="Y163" s="3"/>
      <c r="Z163" s="3"/>
      <c r="AA163" s="3"/>
      <c r="AB163" s="3">
        <v>86.42</v>
      </c>
      <c r="AC163" s="3"/>
      <c r="AD163" s="3">
        <v>84.07</v>
      </c>
      <c r="AE163" s="3"/>
      <c r="AF163" s="3">
        <v>103.75</v>
      </c>
      <c r="AG163" s="3"/>
      <c r="AH163" s="3"/>
      <c r="AI163" s="3"/>
      <c r="AJ163" s="3"/>
      <c r="AK163" s="3"/>
      <c r="AX163" s="3"/>
      <c r="AY163" s="8"/>
      <c r="AZ163" s="8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</row>
    <row r="164" spans="1:108" x14ac:dyDescent="0.3">
      <c r="A164" s="9"/>
      <c r="B164" s="2" t="s">
        <v>347</v>
      </c>
      <c r="C164" s="2" t="s">
        <v>346</v>
      </c>
      <c r="D164" s="13">
        <f t="shared" si="3"/>
        <v>1600.27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>
        <v>92</v>
      </c>
      <c r="AG164" s="3"/>
      <c r="AH164" s="3"/>
      <c r="AI164" s="3">
        <f>142.75+119.18</f>
        <v>261.93</v>
      </c>
      <c r="AJ164" s="3"/>
      <c r="AK164" s="3">
        <v>126.68</v>
      </c>
      <c r="AL164" s="3">
        <v>127.72</v>
      </c>
      <c r="AM164" s="3">
        <v>60.65</v>
      </c>
      <c r="AV164" s="3">
        <v>73.680000000000007</v>
      </c>
      <c r="AW164" s="3">
        <v>79.41</v>
      </c>
      <c r="AX164" s="3"/>
      <c r="AY164" s="3">
        <v>672.32</v>
      </c>
      <c r="AZ164" s="8"/>
      <c r="BA164" s="3"/>
      <c r="BB164" s="3">
        <v>105.88</v>
      </c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</row>
    <row r="165" spans="1:108" x14ac:dyDescent="0.3">
      <c r="A165" s="9"/>
      <c r="C165" s="2" t="s">
        <v>348</v>
      </c>
      <c r="D165" s="13">
        <f t="shared" si="3"/>
        <v>314.14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314.14</v>
      </c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X165" s="3"/>
      <c r="AY165" s="8"/>
      <c r="AZ165" s="8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</row>
    <row r="166" spans="1:108" x14ac:dyDescent="0.3">
      <c r="A166" s="9"/>
      <c r="B166" s="2" t="s">
        <v>349</v>
      </c>
      <c r="C166" s="2" t="s">
        <v>350</v>
      </c>
      <c r="D166" s="13">
        <f t="shared" si="3"/>
        <v>215.03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>
        <v>20.25</v>
      </c>
      <c r="U166" s="3"/>
      <c r="V166" s="3"/>
      <c r="W166" s="3">
        <f>21.94+79.44</f>
        <v>101.38</v>
      </c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N166" s="3">
        <v>93.4</v>
      </c>
      <c r="AX166" s="3"/>
      <c r="AY166" s="8"/>
      <c r="AZ166" s="8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</row>
    <row r="167" spans="1:108" s="10" customFormat="1" x14ac:dyDescent="0.3">
      <c r="A167" s="15"/>
      <c r="D167" s="18" t="s">
        <v>120</v>
      </c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2"/>
      <c r="AZ167" s="12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</row>
    <row r="168" spans="1:108" x14ac:dyDescent="0.3">
      <c r="A168" s="9" t="s">
        <v>351</v>
      </c>
      <c r="B168" s="2" t="s">
        <v>352</v>
      </c>
      <c r="C168" s="2" t="s">
        <v>353</v>
      </c>
      <c r="D168" s="13">
        <f t="shared" si="3"/>
        <v>59.02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>
        <v>59.02</v>
      </c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X168" s="3"/>
      <c r="AY168" s="8"/>
      <c r="AZ168" s="8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</row>
    <row r="169" spans="1:108" s="10" customFormat="1" x14ac:dyDescent="0.3">
      <c r="A169" s="15"/>
      <c r="D169" s="18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2"/>
      <c r="AZ169" s="12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</row>
    <row r="170" spans="1:108" x14ac:dyDescent="0.3">
      <c r="A170" s="9" t="s">
        <v>354</v>
      </c>
      <c r="B170" s="2" t="s">
        <v>167</v>
      </c>
      <c r="C170" s="2" t="s">
        <v>355</v>
      </c>
      <c r="D170" s="13">
        <f t="shared" si="3"/>
        <v>0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X170" s="3"/>
      <c r="AY170" s="8"/>
      <c r="AZ170" s="8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</row>
    <row r="171" spans="1:108" s="10" customFormat="1" x14ac:dyDescent="0.3">
      <c r="D171" s="18">
        <f t="shared" si="3"/>
        <v>228.61</v>
      </c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>
        <v>228.61</v>
      </c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2"/>
      <c r="AZ171" s="12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</row>
    <row r="172" spans="1:108" x14ac:dyDescent="0.3">
      <c r="A172" s="9" t="s">
        <v>356</v>
      </c>
      <c r="C172" s="2" t="s">
        <v>357</v>
      </c>
      <c r="D172" s="13">
        <f t="shared" si="3"/>
        <v>710.82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X172" s="3"/>
      <c r="AY172" s="8"/>
      <c r="AZ172" s="8"/>
      <c r="BA172" s="3"/>
      <c r="BB172" s="3"/>
      <c r="BC172" s="3">
        <v>710.82</v>
      </c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</row>
    <row r="173" spans="1:108" s="10" customFormat="1" x14ac:dyDescent="0.3"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2"/>
      <c r="AZ173" s="12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</row>
    <row r="174" spans="1:108" ht="14.4" thickBot="1" x14ac:dyDescent="0.35"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3"/>
      <c r="AX174" s="3"/>
      <c r="AY174" s="8"/>
      <c r="AZ174" s="8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</row>
    <row r="175" spans="1:108" s="27" customFormat="1" ht="16.2" thickBot="1" x14ac:dyDescent="0.35">
      <c r="A175" s="26" t="s">
        <v>358</v>
      </c>
      <c r="E175" s="28">
        <f>SUM(E5:E173)</f>
        <v>0</v>
      </c>
      <c r="F175" s="28">
        <f t="shared" ref="F175:AP175" si="4">SUM(F5:F173)</f>
        <v>0</v>
      </c>
      <c r="G175" s="28">
        <f t="shared" si="4"/>
        <v>0</v>
      </c>
      <c r="H175" s="28">
        <f t="shared" si="4"/>
        <v>167.3</v>
      </c>
      <c r="I175" s="28">
        <f t="shared" si="4"/>
        <v>90.3</v>
      </c>
      <c r="J175" s="28">
        <f t="shared" si="4"/>
        <v>2175.75</v>
      </c>
      <c r="K175" s="28">
        <f t="shared" si="4"/>
        <v>2210.69</v>
      </c>
      <c r="L175" s="28">
        <f t="shared" si="4"/>
        <v>1073.1899999999998</v>
      </c>
      <c r="M175" s="28">
        <f t="shared" si="4"/>
        <v>1279.3499999999999</v>
      </c>
      <c r="N175" s="28">
        <f t="shared" si="4"/>
        <v>1461.56</v>
      </c>
      <c r="O175" s="28">
        <f t="shared" si="4"/>
        <v>2514.8000000000002</v>
      </c>
      <c r="P175" s="28">
        <f t="shared" si="4"/>
        <v>1362.8600000000001</v>
      </c>
      <c r="Q175" s="28">
        <f t="shared" si="4"/>
        <v>1804.6</v>
      </c>
      <c r="R175" s="28">
        <f t="shared" si="4"/>
        <v>920.56000000000006</v>
      </c>
      <c r="S175" s="28">
        <f t="shared" si="4"/>
        <v>1689.97</v>
      </c>
      <c r="T175" s="28">
        <f t="shared" si="4"/>
        <v>959.47</v>
      </c>
      <c r="U175" s="28">
        <f t="shared" si="4"/>
        <v>291.7</v>
      </c>
      <c r="V175" s="28">
        <f t="shared" si="4"/>
        <v>886.77</v>
      </c>
      <c r="W175" s="28">
        <f t="shared" si="4"/>
        <v>1173.58</v>
      </c>
      <c r="X175" s="28">
        <f t="shared" si="4"/>
        <v>907.82999999999993</v>
      </c>
      <c r="Y175" s="28">
        <f t="shared" si="4"/>
        <v>1478.27</v>
      </c>
      <c r="Z175" s="28">
        <f t="shared" si="4"/>
        <v>732.58</v>
      </c>
      <c r="AA175" s="28">
        <f t="shared" si="4"/>
        <v>1042.7500000000002</v>
      </c>
      <c r="AB175" s="28">
        <f t="shared" si="4"/>
        <v>1950.0000000000002</v>
      </c>
      <c r="AC175" s="28">
        <f t="shared" si="4"/>
        <v>2275.1200000000003</v>
      </c>
      <c r="AD175" s="28">
        <f t="shared" si="4"/>
        <v>1668.22</v>
      </c>
      <c r="AE175" s="28">
        <f t="shared" si="4"/>
        <v>412.23</v>
      </c>
      <c r="AF175" s="28">
        <f t="shared" si="4"/>
        <v>1473.2400000000002</v>
      </c>
      <c r="AG175" s="28">
        <f t="shared" si="4"/>
        <v>1865.59</v>
      </c>
      <c r="AH175" s="28">
        <f t="shared" si="4"/>
        <v>1169.6299999999999</v>
      </c>
      <c r="AI175" s="28">
        <f t="shared" si="4"/>
        <v>2142.2599999999998</v>
      </c>
      <c r="AJ175" s="28">
        <f t="shared" si="4"/>
        <v>579.13</v>
      </c>
      <c r="AK175" s="28">
        <f t="shared" si="4"/>
        <v>2564.4199999999996</v>
      </c>
      <c r="AL175" s="28">
        <f t="shared" si="4"/>
        <v>1194.97</v>
      </c>
      <c r="AM175" s="28">
        <f t="shared" si="4"/>
        <v>1453.2700000000002</v>
      </c>
      <c r="AN175" s="28">
        <f t="shared" si="4"/>
        <v>789.88</v>
      </c>
      <c r="AO175" s="28">
        <f t="shared" si="4"/>
        <v>1845.53</v>
      </c>
      <c r="AP175" s="28">
        <f t="shared" si="4"/>
        <v>2656</v>
      </c>
      <c r="AQ175" s="28">
        <f>SUM(AQ5:AQ173)</f>
        <v>1668.52</v>
      </c>
      <c r="AR175" s="28">
        <f t="shared" ref="AR175:AV175" si="5">SUM(AR5:AR173)</f>
        <v>3614.13</v>
      </c>
      <c r="AS175" s="28">
        <f t="shared" si="5"/>
        <v>2380.91</v>
      </c>
      <c r="AT175" s="28">
        <f t="shared" si="5"/>
        <v>1205.8899999999999</v>
      </c>
      <c r="AU175" s="28">
        <f t="shared" si="5"/>
        <v>717.65000000000009</v>
      </c>
      <c r="AV175" s="28">
        <f t="shared" si="5"/>
        <v>1338.2500000000002</v>
      </c>
      <c r="AW175" s="28">
        <f>SUM(AW5:AW174)</f>
        <v>832.74</v>
      </c>
      <c r="AX175" s="28">
        <f t="shared" ref="AX175:BA175" si="6">SUM(AX5:AX174)</f>
        <v>1739.19</v>
      </c>
      <c r="AY175" s="28">
        <f t="shared" si="6"/>
        <v>992.21</v>
      </c>
      <c r="AZ175" s="28">
        <f t="shared" si="6"/>
        <v>2938.6200000000003</v>
      </c>
      <c r="BA175" s="28">
        <f t="shared" si="6"/>
        <v>3386.81</v>
      </c>
      <c r="BB175" s="28">
        <f>SUM(BB5:BB174)</f>
        <v>1786.1200000000003</v>
      </c>
      <c r="BC175" s="28">
        <f>SUM(BC5:BC174)</f>
        <v>2107.46</v>
      </c>
      <c r="BD175" s="28">
        <f>SUM(BD5:BD174)</f>
        <v>99.19</v>
      </c>
      <c r="BE175" s="28"/>
      <c r="BF175" s="28"/>
      <c r="BG175" s="28"/>
      <c r="BH175" s="28"/>
      <c r="BI175" s="28"/>
      <c r="BJ175" s="28"/>
      <c r="BK175" s="28"/>
      <c r="BL175" s="28"/>
      <c r="BM175" s="28"/>
      <c r="BN175" s="28"/>
      <c r="BO175" s="28"/>
      <c r="BP175" s="28"/>
      <c r="BQ175" s="28"/>
      <c r="BR175" s="28"/>
      <c r="BS175" s="28"/>
      <c r="BT175" s="28"/>
      <c r="BU175" s="29"/>
      <c r="BV175" s="29"/>
      <c r="BW175" s="29"/>
      <c r="BX175" s="29"/>
      <c r="BY175" s="29"/>
      <c r="BZ175" s="29"/>
      <c r="CA175" s="29"/>
      <c r="CB175" s="29"/>
      <c r="CC175" s="29"/>
      <c r="CD175" s="29"/>
      <c r="CE175" s="29"/>
      <c r="CF175" s="29"/>
      <c r="CG175" s="29"/>
      <c r="CH175" s="29"/>
      <c r="CI175" s="29"/>
      <c r="CJ175" s="29"/>
      <c r="CK175" s="29"/>
      <c r="CL175" s="29"/>
      <c r="CM175" s="29"/>
      <c r="CN175" s="29"/>
      <c r="CO175" s="29"/>
      <c r="CP175" s="29"/>
      <c r="CQ175" s="29"/>
      <c r="CR175" s="29"/>
      <c r="CS175" s="29"/>
      <c r="CT175" s="29"/>
      <c r="CU175" s="29"/>
      <c r="CV175" s="29"/>
      <c r="CW175" s="29"/>
      <c r="CX175" s="29"/>
      <c r="CY175" s="29"/>
      <c r="CZ175" s="29"/>
      <c r="DA175" s="29"/>
      <c r="DB175" s="29"/>
      <c r="DC175" s="29"/>
      <c r="DD175" s="29"/>
    </row>
    <row r="176" spans="1:108" x14ac:dyDescent="0.3"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3"/>
      <c r="AY176" s="8"/>
      <c r="AZ176" s="8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</row>
    <row r="177" spans="1:108" x14ac:dyDescent="0.3"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3"/>
      <c r="AY177" s="8"/>
      <c r="AZ177" s="8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</row>
    <row r="178" spans="1:108" x14ac:dyDescent="0.3"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3"/>
      <c r="AY178" s="8"/>
      <c r="AZ178" s="8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</row>
    <row r="179" spans="1:108" x14ac:dyDescent="0.3">
      <c r="A179" s="2" t="s">
        <v>120</v>
      </c>
      <c r="B179" s="2" t="s">
        <v>120</v>
      </c>
      <c r="C179" s="2" t="s">
        <v>120</v>
      </c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>
        <v>88.03</v>
      </c>
      <c r="AD179" s="17"/>
      <c r="AE179" s="17"/>
      <c r="AF179" s="17"/>
      <c r="AG179" s="17"/>
      <c r="AH179" s="17"/>
      <c r="AI179" s="17"/>
      <c r="AJ179" s="17"/>
      <c r="AK179" s="3"/>
      <c r="AY179" s="8"/>
      <c r="AZ179" s="8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</row>
    <row r="180" spans="1:108" x14ac:dyDescent="0.3"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3"/>
      <c r="AY180" s="8"/>
      <c r="AZ180" s="8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</row>
    <row r="181" spans="1:108" s="10" customFormat="1" x14ac:dyDescent="0.3"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Y181" s="12"/>
      <c r="AZ181" s="12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</row>
    <row r="182" spans="1:108" x14ac:dyDescent="0.3">
      <c r="A182" s="2" t="s">
        <v>359</v>
      </c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Y182" s="8"/>
      <c r="AZ182" s="8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</row>
    <row r="183" spans="1:108" x14ac:dyDescent="0.3">
      <c r="A183" s="2" t="s">
        <v>360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Y183" s="8"/>
      <c r="AZ183" s="8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</row>
    <row r="184" spans="1:108" x14ac:dyDescent="0.3">
      <c r="A184" s="2" t="s">
        <v>361</v>
      </c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Y184" s="8"/>
      <c r="AZ184" s="8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</row>
    <row r="185" spans="1:108" x14ac:dyDescent="0.3"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AK185" s="3"/>
      <c r="AY185" s="8"/>
      <c r="AZ185" s="8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</row>
    <row r="186" spans="1:108" x14ac:dyDescent="0.3">
      <c r="A186" s="2" t="s">
        <v>362</v>
      </c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AK186" s="3"/>
      <c r="AY186" s="8"/>
      <c r="AZ186" s="8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</row>
    <row r="187" spans="1:108" x14ac:dyDescent="0.3"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AK187" s="3"/>
      <c r="AY187" s="8"/>
      <c r="AZ187" s="8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8"/>
    </row>
    <row r="188" spans="1:108" x14ac:dyDescent="0.3">
      <c r="A188" s="30" t="s">
        <v>363</v>
      </c>
      <c r="B188" s="2" t="s">
        <v>364</v>
      </c>
      <c r="AK188" s="3"/>
      <c r="AY188" s="8"/>
      <c r="AZ188" s="8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</row>
    <row r="189" spans="1:108" x14ac:dyDescent="0.3">
      <c r="A189" s="2" t="s">
        <v>365</v>
      </c>
      <c r="AK189" s="3"/>
      <c r="AY189" s="8"/>
      <c r="AZ189" s="8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</row>
    <row r="190" spans="1:108" x14ac:dyDescent="0.3">
      <c r="AK190" s="3"/>
      <c r="AY190" s="8"/>
      <c r="AZ190" s="8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8"/>
    </row>
    <row r="191" spans="1:108" x14ac:dyDescent="0.3">
      <c r="A191" s="2" t="s">
        <v>366</v>
      </c>
      <c r="B191" s="2" t="s">
        <v>120</v>
      </c>
      <c r="AF191" s="2" t="s">
        <v>120</v>
      </c>
      <c r="AK191" s="3"/>
      <c r="AY191" s="8"/>
      <c r="AZ191" s="8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</row>
    <row r="192" spans="1:108" x14ac:dyDescent="0.3">
      <c r="A192" s="2" t="s">
        <v>367</v>
      </c>
      <c r="C192" s="2" t="s">
        <v>368</v>
      </c>
      <c r="AI192" s="2">
        <v>112.73</v>
      </c>
      <c r="AK192" s="3"/>
      <c r="AY192" s="8"/>
      <c r="AZ192" s="8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</row>
    <row r="193" spans="1:108" x14ac:dyDescent="0.3">
      <c r="A193" s="2" t="s">
        <v>369</v>
      </c>
      <c r="C193" s="2" t="s">
        <v>370</v>
      </c>
      <c r="AI193" s="2">
        <v>765.38</v>
      </c>
      <c r="AK193" s="3"/>
      <c r="AY193" s="8"/>
      <c r="AZ193" s="8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</row>
    <row r="194" spans="1:108" x14ac:dyDescent="0.3">
      <c r="AK194" s="3"/>
      <c r="AY194" s="8"/>
      <c r="AZ194" s="8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8"/>
    </row>
    <row r="195" spans="1:108" x14ac:dyDescent="0.3">
      <c r="AK195" s="3"/>
      <c r="AY195" s="8"/>
      <c r="AZ195" s="8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</row>
    <row r="196" spans="1:108" x14ac:dyDescent="0.3">
      <c r="A196" s="2" t="s">
        <v>371</v>
      </c>
      <c r="C196" s="2" t="s">
        <v>372</v>
      </c>
      <c r="AK196" s="3"/>
      <c r="AR196" s="3">
        <v>102.33</v>
      </c>
      <c r="AY196" s="8"/>
      <c r="AZ196" s="8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8"/>
    </row>
    <row r="197" spans="1:108" x14ac:dyDescent="0.3">
      <c r="AK197" s="3"/>
      <c r="AY197" s="8"/>
      <c r="AZ197" s="8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</row>
    <row r="198" spans="1:108" x14ac:dyDescent="0.3">
      <c r="AK198" s="3"/>
      <c r="AY198" s="8"/>
      <c r="AZ198" s="8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</row>
    <row r="199" spans="1:108" x14ac:dyDescent="0.3">
      <c r="AK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</row>
    <row r="200" spans="1:108" x14ac:dyDescent="0.3">
      <c r="AK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</row>
    <row r="201" spans="1:108" x14ac:dyDescent="0.3">
      <c r="AK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</row>
    <row r="202" spans="1:108" x14ac:dyDescent="0.3">
      <c r="AK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</row>
    <row r="203" spans="1:108" x14ac:dyDescent="0.3">
      <c r="AK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</row>
    <row r="204" spans="1:108" x14ac:dyDescent="0.3">
      <c r="AK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</row>
    <row r="205" spans="1:108" x14ac:dyDescent="0.3">
      <c r="AK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</row>
    <row r="206" spans="1:108" x14ac:dyDescent="0.3">
      <c r="AK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</row>
    <row r="207" spans="1:108" x14ac:dyDescent="0.3">
      <c r="AK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</row>
    <row r="208" spans="1:108" x14ac:dyDescent="0.3">
      <c r="AK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</row>
    <row r="209" spans="37:72" x14ac:dyDescent="0.3">
      <c r="AK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</row>
    <row r="210" spans="37:72" x14ac:dyDescent="0.3">
      <c r="AK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</row>
    <row r="211" spans="37:72" x14ac:dyDescent="0.3">
      <c r="AK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</row>
    <row r="212" spans="37:72" x14ac:dyDescent="0.3">
      <c r="AK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</row>
    <row r="213" spans="37:72" x14ac:dyDescent="0.3">
      <c r="AK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</row>
    <row r="214" spans="37:72" x14ac:dyDescent="0.3">
      <c r="AK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</row>
    <row r="215" spans="37:72" x14ac:dyDescent="0.3">
      <c r="AK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</row>
    <row r="216" spans="37:72" x14ac:dyDescent="0.3">
      <c r="AK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</row>
    <row r="217" spans="37:72" x14ac:dyDescent="0.3">
      <c r="AK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</row>
    <row r="218" spans="37:72" x14ac:dyDescent="0.3">
      <c r="AK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</row>
    <row r="219" spans="37:72" x14ac:dyDescent="0.3">
      <c r="AK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</row>
    <row r="220" spans="37:72" x14ac:dyDescent="0.3">
      <c r="AK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</row>
    <row r="221" spans="37:72" x14ac:dyDescent="0.3">
      <c r="AK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</row>
    <row r="222" spans="37:72" x14ac:dyDescent="0.3">
      <c r="AK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</row>
    <row r="223" spans="37:72" x14ac:dyDescent="0.3">
      <c r="AK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</row>
    <row r="224" spans="37:72" x14ac:dyDescent="0.3">
      <c r="AK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</row>
    <row r="225" spans="37:72" x14ac:dyDescent="0.3">
      <c r="AK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</row>
    <row r="226" spans="37:72" x14ac:dyDescent="0.3">
      <c r="AK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</row>
    <row r="227" spans="37:72" x14ac:dyDescent="0.3">
      <c r="AK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</row>
    <row r="228" spans="37:72" x14ac:dyDescent="0.3">
      <c r="AK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</row>
    <row r="229" spans="37:72" x14ac:dyDescent="0.3">
      <c r="AK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</row>
    <row r="230" spans="37:72" x14ac:dyDescent="0.3">
      <c r="AK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</row>
    <row r="231" spans="37:72" x14ac:dyDescent="0.3">
      <c r="AK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</row>
    <row r="232" spans="37:72" x14ac:dyDescent="0.3">
      <c r="AK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</row>
    <row r="233" spans="37:72" x14ac:dyDescent="0.3">
      <c r="AK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</row>
    <row r="234" spans="37:72" x14ac:dyDescent="0.3">
      <c r="AK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</row>
    <row r="235" spans="37:72" x14ac:dyDescent="0.3">
      <c r="AK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</row>
    <row r="236" spans="37:72" x14ac:dyDescent="0.3">
      <c r="AK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</row>
    <row r="237" spans="37:72" x14ac:dyDescent="0.3">
      <c r="AK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</row>
    <row r="238" spans="37:72" x14ac:dyDescent="0.3">
      <c r="AK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</row>
    <row r="239" spans="37:72" x14ac:dyDescent="0.3">
      <c r="AK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</row>
    <row r="240" spans="37:72" x14ac:dyDescent="0.3">
      <c r="AK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</row>
    <row r="241" spans="37:72" x14ac:dyDescent="0.3">
      <c r="AK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</row>
    <row r="242" spans="37:72" x14ac:dyDescent="0.3">
      <c r="AK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</row>
    <row r="243" spans="37:72" x14ac:dyDescent="0.3">
      <c r="AK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</row>
    <row r="244" spans="37:72" x14ac:dyDescent="0.3">
      <c r="AK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</row>
    <row r="245" spans="37:72" x14ac:dyDescent="0.3">
      <c r="AK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</row>
    <row r="246" spans="37:72" x14ac:dyDescent="0.3">
      <c r="AK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</row>
    <row r="247" spans="37:72" x14ac:dyDescent="0.3">
      <c r="AK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</row>
    <row r="248" spans="37:72" x14ac:dyDescent="0.3">
      <c r="AK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</row>
    <row r="249" spans="37:72" x14ac:dyDescent="0.3">
      <c r="AK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</row>
    <row r="250" spans="37:72" x14ac:dyDescent="0.3">
      <c r="AK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</row>
    <row r="251" spans="37:72" x14ac:dyDescent="0.3">
      <c r="AK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</row>
    <row r="252" spans="37:72" x14ac:dyDescent="0.3">
      <c r="AK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</row>
    <row r="253" spans="37:72" x14ac:dyDescent="0.3">
      <c r="AK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</row>
    <row r="254" spans="37:72" x14ac:dyDescent="0.3">
      <c r="AK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</row>
    <row r="255" spans="37:72" x14ac:dyDescent="0.3">
      <c r="AK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</row>
    <row r="256" spans="37:72" x14ac:dyDescent="0.3">
      <c r="AK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</row>
    <row r="257" spans="37:72" x14ac:dyDescent="0.3">
      <c r="AK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</row>
    <row r="258" spans="37:72" x14ac:dyDescent="0.3">
      <c r="AK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</row>
    <row r="259" spans="37:72" x14ac:dyDescent="0.3">
      <c r="AK259" s="3"/>
    </row>
    <row r="260" spans="37:72" x14ac:dyDescent="0.3">
      <c r="AK260" s="3"/>
    </row>
    <row r="261" spans="37:72" x14ac:dyDescent="0.3">
      <c r="AK261" s="3"/>
    </row>
    <row r="262" spans="37:72" x14ac:dyDescent="0.3">
      <c r="AK262" s="3"/>
    </row>
    <row r="263" spans="37:72" x14ac:dyDescent="0.3">
      <c r="AK263" s="3"/>
    </row>
    <row r="264" spans="37:72" x14ac:dyDescent="0.3">
      <c r="AK264" s="3"/>
    </row>
    <row r="265" spans="37:72" x14ac:dyDescent="0.3">
      <c r="AK265" s="3"/>
    </row>
    <row r="266" spans="37:72" x14ac:dyDescent="0.3">
      <c r="AK266" s="3"/>
    </row>
    <row r="267" spans="37:72" x14ac:dyDescent="0.3">
      <c r="AK267" s="3"/>
    </row>
    <row r="268" spans="37:72" x14ac:dyDescent="0.3">
      <c r="AK268" s="3"/>
    </row>
    <row r="269" spans="37:72" x14ac:dyDescent="0.3">
      <c r="AK269" s="3"/>
    </row>
    <row r="270" spans="37:72" x14ac:dyDescent="0.3">
      <c r="AK270" s="3"/>
    </row>
    <row r="271" spans="37:72" x14ac:dyDescent="0.3">
      <c r="AK271" s="3"/>
    </row>
    <row r="272" spans="37:72" x14ac:dyDescent="0.3">
      <c r="AK272" s="3"/>
    </row>
    <row r="273" spans="37:37" x14ac:dyDescent="0.3">
      <c r="AK273" s="3"/>
    </row>
    <row r="274" spans="37:37" x14ac:dyDescent="0.3">
      <c r="AK274" s="3"/>
    </row>
    <row r="275" spans="37:37" x14ac:dyDescent="0.3">
      <c r="AK275" s="3"/>
    </row>
    <row r="276" spans="37:37" x14ac:dyDescent="0.3">
      <c r="AK276" s="3"/>
    </row>
    <row r="277" spans="37:37" x14ac:dyDescent="0.3">
      <c r="AK277" s="3"/>
    </row>
    <row r="278" spans="37:37" x14ac:dyDescent="0.3">
      <c r="AK278" s="3"/>
    </row>
    <row r="279" spans="37:37" x14ac:dyDescent="0.3">
      <c r="AK279" s="3"/>
    </row>
    <row r="280" spans="37:37" x14ac:dyDescent="0.3">
      <c r="AK280" s="3"/>
    </row>
    <row r="281" spans="37:37" x14ac:dyDescent="0.3">
      <c r="AK281" s="3"/>
    </row>
    <row r="282" spans="37:37" x14ac:dyDescent="0.3">
      <c r="AK282" s="3"/>
    </row>
    <row r="283" spans="37:37" x14ac:dyDescent="0.3">
      <c r="AK283" s="3"/>
    </row>
    <row r="284" spans="37:37" x14ac:dyDescent="0.3">
      <c r="AK284" s="3"/>
    </row>
    <row r="285" spans="37:37" x14ac:dyDescent="0.3">
      <c r="AK285" s="3"/>
    </row>
    <row r="286" spans="37:37" x14ac:dyDescent="0.3">
      <c r="AK286" s="3"/>
    </row>
    <row r="287" spans="37:37" x14ac:dyDescent="0.3">
      <c r="AK287" s="3"/>
    </row>
    <row r="288" spans="37:37" x14ac:dyDescent="0.3">
      <c r="AK288" s="3"/>
    </row>
    <row r="289" spans="37:37" x14ac:dyDescent="0.3">
      <c r="AK289" s="3"/>
    </row>
    <row r="290" spans="37:37" x14ac:dyDescent="0.3">
      <c r="AK290" s="3"/>
    </row>
    <row r="291" spans="37:37" x14ac:dyDescent="0.3">
      <c r="AK291" s="3"/>
    </row>
    <row r="292" spans="37:37" x14ac:dyDescent="0.3">
      <c r="AK292" s="3"/>
    </row>
    <row r="293" spans="37:37" x14ac:dyDescent="0.3">
      <c r="AK293" s="3"/>
    </row>
    <row r="294" spans="37:37" x14ac:dyDescent="0.3">
      <c r="AK294" s="3"/>
    </row>
    <row r="295" spans="37:37" x14ac:dyDescent="0.3">
      <c r="AK295" s="3"/>
    </row>
    <row r="296" spans="37:37" x14ac:dyDescent="0.3">
      <c r="AK296" s="3"/>
    </row>
    <row r="297" spans="37:37" x14ac:dyDescent="0.3">
      <c r="AK297" s="3"/>
    </row>
    <row r="298" spans="37:37" x14ac:dyDescent="0.3">
      <c r="AK298" s="3"/>
    </row>
    <row r="299" spans="37:37" x14ac:dyDescent="0.3">
      <c r="AK299" s="3"/>
    </row>
    <row r="300" spans="37:37" x14ac:dyDescent="0.3">
      <c r="AK300" s="3"/>
    </row>
    <row r="301" spans="37:37" x14ac:dyDescent="0.3">
      <c r="AK301" s="3"/>
    </row>
    <row r="302" spans="37:37" x14ac:dyDescent="0.3">
      <c r="AK302" s="3"/>
    </row>
    <row r="303" spans="37:37" x14ac:dyDescent="0.3">
      <c r="AK303" s="3"/>
    </row>
    <row r="304" spans="37:37" x14ac:dyDescent="0.3">
      <c r="AK304" s="3"/>
    </row>
    <row r="305" spans="37:37" x14ac:dyDescent="0.3">
      <c r="AK305" s="3"/>
    </row>
    <row r="306" spans="37:37" x14ac:dyDescent="0.3">
      <c r="AK306" s="3"/>
    </row>
    <row r="307" spans="37:37" x14ac:dyDescent="0.3">
      <c r="AK307" s="3"/>
    </row>
    <row r="308" spans="37:37" x14ac:dyDescent="0.3">
      <c r="AK308" s="3"/>
    </row>
    <row r="309" spans="37:37" x14ac:dyDescent="0.3">
      <c r="AK309" s="3"/>
    </row>
    <row r="310" spans="37:37" x14ac:dyDescent="0.3">
      <c r="AK310" s="3"/>
    </row>
    <row r="311" spans="37:37" x14ac:dyDescent="0.3">
      <c r="AK311" s="3"/>
    </row>
    <row r="312" spans="37:37" x14ac:dyDescent="0.3">
      <c r="AK312" s="3"/>
    </row>
    <row r="313" spans="37:37" x14ac:dyDescent="0.3">
      <c r="AK313" s="3"/>
    </row>
    <row r="314" spans="37:37" x14ac:dyDescent="0.3">
      <c r="AK314" s="3"/>
    </row>
    <row r="315" spans="37:37" x14ac:dyDescent="0.3">
      <c r="AK315" s="3"/>
    </row>
    <row r="316" spans="37:37" x14ac:dyDescent="0.3">
      <c r="AK316" s="3"/>
    </row>
    <row r="317" spans="37:37" x14ac:dyDescent="0.3">
      <c r="AK317" s="3"/>
    </row>
    <row r="318" spans="37:37" x14ac:dyDescent="0.3">
      <c r="AK318" s="3"/>
    </row>
    <row r="319" spans="37:37" x14ac:dyDescent="0.3">
      <c r="AK319" s="3"/>
    </row>
    <row r="320" spans="37:37" x14ac:dyDescent="0.3">
      <c r="AK320" s="3"/>
    </row>
    <row r="321" spans="37:37" x14ac:dyDescent="0.3">
      <c r="AK321" s="3"/>
    </row>
    <row r="322" spans="37:37" x14ac:dyDescent="0.3">
      <c r="AK322" s="3"/>
    </row>
    <row r="323" spans="37:37" x14ac:dyDescent="0.3">
      <c r="AK323" s="3"/>
    </row>
    <row r="324" spans="37:37" x14ac:dyDescent="0.3">
      <c r="AK324" s="3"/>
    </row>
    <row r="325" spans="37:37" x14ac:dyDescent="0.3">
      <c r="AK325" s="3"/>
    </row>
    <row r="326" spans="37:37" x14ac:dyDescent="0.3">
      <c r="AK326" s="3"/>
    </row>
    <row r="327" spans="37:37" x14ac:dyDescent="0.3">
      <c r="AK327" s="3"/>
    </row>
    <row r="328" spans="37:37" x14ac:dyDescent="0.3">
      <c r="AK328" s="3"/>
    </row>
    <row r="329" spans="37:37" x14ac:dyDescent="0.3">
      <c r="AK329" s="3"/>
    </row>
    <row r="330" spans="37:37" x14ac:dyDescent="0.3">
      <c r="AK330" s="3"/>
    </row>
    <row r="331" spans="37:37" x14ac:dyDescent="0.3">
      <c r="AK331" s="3"/>
    </row>
    <row r="332" spans="37:37" x14ac:dyDescent="0.3">
      <c r="AK332" s="3"/>
    </row>
    <row r="333" spans="37:37" x14ac:dyDescent="0.3">
      <c r="AK333" s="3"/>
    </row>
    <row r="334" spans="37:37" x14ac:dyDescent="0.3">
      <c r="AK334" s="3"/>
    </row>
    <row r="335" spans="37:37" x14ac:dyDescent="0.3">
      <c r="AK335" s="3"/>
    </row>
    <row r="336" spans="37:37" x14ac:dyDescent="0.3">
      <c r="AK336" s="3"/>
    </row>
    <row r="337" spans="37:37" x14ac:dyDescent="0.3">
      <c r="AK337" s="3"/>
    </row>
    <row r="338" spans="37:37" x14ac:dyDescent="0.3">
      <c r="AK338" s="3"/>
    </row>
    <row r="339" spans="37:37" x14ac:dyDescent="0.3">
      <c r="AK339" s="3"/>
    </row>
    <row r="340" spans="37:37" x14ac:dyDescent="0.3">
      <c r="AK340" s="3"/>
    </row>
    <row r="341" spans="37:37" x14ac:dyDescent="0.3">
      <c r="AK341" s="3"/>
    </row>
    <row r="342" spans="37:37" x14ac:dyDescent="0.3">
      <c r="AK342" s="3"/>
    </row>
    <row r="343" spans="37:37" x14ac:dyDescent="0.3">
      <c r="AK343" s="3"/>
    </row>
    <row r="344" spans="37:37" x14ac:dyDescent="0.3">
      <c r="AK344" s="3"/>
    </row>
    <row r="345" spans="37:37" x14ac:dyDescent="0.3">
      <c r="AK345" s="3"/>
    </row>
    <row r="346" spans="37:37" x14ac:dyDescent="0.3">
      <c r="AK346" s="3"/>
    </row>
    <row r="347" spans="37:37" x14ac:dyDescent="0.3">
      <c r="AK347" s="3"/>
    </row>
    <row r="348" spans="37:37" x14ac:dyDescent="0.3">
      <c r="AK348" s="3"/>
    </row>
    <row r="349" spans="37:37" x14ac:dyDescent="0.3">
      <c r="AK349" s="3"/>
    </row>
    <row r="350" spans="37:37" x14ac:dyDescent="0.3">
      <c r="AK350" s="3"/>
    </row>
    <row r="351" spans="37:37" x14ac:dyDescent="0.3">
      <c r="AK351" s="3"/>
    </row>
    <row r="352" spans="37:37" x14ac:dyDescent="0.3">
      <c r="AK352" s="3"/>
    </row>
    <row r="353" spans="37:37" x14ac:dyDescent="0.3">
      <c r="AK353" s="3"/>
    </row>
    <row r="354" spans="37:37" x14ac:dyDescent="0.3">
      <c r="AK354" s="3"/>
    </row>
    <row r="355" spans="37:37" x14ac:dyDescent="0.3">
      <c r="AK355" s="3"/>
    </row>
    <row r="356" spans="37:37" x14ac:dyDescent="0.3">
      <c r="AK356" s="3"/>
    </row>
    <row r="357" spans="37:37" x14ac:dyDescent="0.3">
      <c r="AK357" s="3"/>
    </row>
    <row r="358" spans="37:37" x14ac:dyDescent="0.3">
      <c r="AK358" s="3"/>
    </row>
    <row r="359" spans="37:37" x14ac:dyDescent="0.3">
      <c r="AK359" s="3"/>
    </row>
    <row r="360" spans="37:37" x14ac:dyDescent="0.3">
      <c r="AK360" s="3"/>
    </row>
    <row r="361" spans="37:37" x14ac:dyDescent="0.3">
      <c r="AK361" s="3"/>
    </row>
    <row r="362" spans="37:37" x14ac:dyDescent="0.3">
      <c r="AK362" s="3"/>
    </row>
    <row r="363" spans="37:37" x14ac:dyDescent="0.3">
      <c r="AK363" s="3"/>
    </row>
    <row r="364" spans="37:37" x14ac:dyDescent="0.3">
      <c r="AK364" s="3"/>
    </row>
    <row r="365" spans="37:37" x14ac:dyDescent="0.3">
      <c r="AK365" s="3"/>
    </row>
    <row r="366" spans="37:37" x14ac:dyDescent="0.3">
      <c r="AK366" s="3"/>
    </row>
    <row r="367" spans="37:37" x14ac:dyDescent="0.3">
      <c r="AK367" s="3"/>
    </row>
    <row r="368" spans="37:37" x14ac:dyDescent="0.3">
      <c r="AK368" s="3"/>
    </row>
    <row r="369" spans="37:37" x14ac:dyDescent="0.3">
      <c r="AK369" s="3"/>
    </row>
    <row r="370" spans="37:37" x14ac:dyDescent="0.3">
      <c r="AK370" s="3"/>
    </row>
    <row r="371" spans="37:37" x14ac:dyDescent="0.3">
      <c r="AK371" s="3"/>
    </row>
    <row r="372" spans="37:37" x14ac:dyDescent="0.3">
      <c r="AK372" s="3"/>
    </row>
    <row r="373" spans="37:37" x14ac:dyDescent="0.3">
      <c r="AK373" s="3"/>
    </row>
    <row r="374" spans="37:37" x14ac:dyDescent="0.3">
      <c r="AK374" s="3"/>
    </row>
    <row r="375" spans="37:37" x14ac:dyDescent="0.3">
      <c r="AK375" s="3"/>
    </row>
    <row r="376" spans="37:37" x14ac:dyDescent="0.3">
      <c r="AK376" s="3"/>
    </row>
    <row r="377" spans="37:37" x14ac:dyDescent="0.3">
      <c r="AK377" s="3"/>
    </row>
    <row r="378" spans="37:37" x14ac:dyDescent="0.3">
      <c r="AK378" s="3"/>
    </row>
    <row r="379" spans="37:37" x14ac:dyDescent="0.3">
      <c r="AK379" s="3"/>
    </row>
    <row r="380" spans="37:37" x14ac:dyDescent="0.3">
      <c r="AK380" s="3"/>
    </row>
    <row r="381" spans="37:37" x14ac:dyDescent="0.3">
      <c r="AK381" s="3"/>
    </row>
    <row r="382" spans="37:37" x14ac:dyDescent="0.3">
      <c r="AK382" s="3"/>
    </row>
    <row r="383" spans="37:37" x14ac:dyDescent="0.3">
      <c r="AK383" s="3"/>
    </row>
    <row r="384" spans="37:37" x14ac:dyDescent="0.3">
      <c r="AK384" s="3"/>
    </row>
    <row r="385" spans="37:37" x14ac:dyDescent="0.3">
      <c r="AK385" s="3"/>
    </row>
    <row r="386" spans="37:37" x14ac:dyDescent="0.3">
      <c r="AK386" s="3"/>
    </row>
    <row r="387" spans="37:37" x14ac:dyDescent="0.3">
      <c r="AK387" s="3"/>
    </row>
    <row r="388" spans="37:37" x14ac:dyDescent="0.3">
      <c r="AK388" s="3"/>
    </row>
    <row r="389" spans="37:37" x14ac:dyDescent="0.3">
      <c r="AK389" s="3"/>
    </row>
    <row r="390" spans="37:37" x14ac:dyDescent="0.3">
      <c r="AK390" s="3"/>
    </row>
    <row r="391" spans="37:37" x14ac:dyDescent="0.3">
      <c r="AK391" s="3"/>
    </row>
    <row r="392" spans="37:37" x14ac:dyDescent="0.3">
      <c r="AK392" s="3"/>
    </row>
    <row r="393" spans="37:37" x14ac:dyDescent="0.3">
      <c r="AK393" s="3"/>
    </row>
    <row r="394" spans="37:37" x14ac:dyDescent="0.3">
      <c r="AK394" s="3"/>
    </row>
    <row r="395" spans="37:37" x14ac:dyDescent="0.3">
      <c r="AK395" s="3"/>
    </row>
    <row r="396" spans="37:37" x14ac:dyDescent="0.3">
      <c r="AK396" s="3"/>
    </row>
    <row r="397" spans="37:37" x14ac:dyDescent="0.3">
      <c r="AK397" s="3"/>
    </row>
    <row r="398" spans="37:37" x14ac:dyDescent="0.3">
      <c r="AK398" s="3"/>
    </row>
    <row r="399" spans="37:37" x14ac:dyDescent="0.3">
      <c r="AK399" s="3"/>
    </row>
    <row r="400" spans="37:37" x14ac:dyDescent="0.3">
      <c r="AK400" s="3"/>
    </row>
    <row r="401" spans="37:37" x14ac:dyDescent="0.3">
      <c r="AK401" s="3"/>
    </row>
    <row r="402" spans="37:37" x14ac:dyDescent="0.3">
      <c r="AK402" s="3"/>
    </row>
    <row r="403" spans="37:37" x14ac:dyDescent="0.3">
      <c r="AK403" s="3"/>
    </row>
    <row r="404" spans="37:37" x14ac:dyDescent="0.3">
      <c r="AK404" s="3"/>
    </row>
    <row r="405" spans="37:37" x14ac:dyDescent="0.3">
      <c r="AK405" s="3"/>
    </row>
    <row r="406" spans="37:37" x14ac:dyDescent="0.3">
      <c r="AK406" s="3"/>
    </row>
    <row r="407" spans="37:37" x14ac:dyDescent="0.3">
      <c r="AK407" s="3"/>
    </row>
    <row r="408" spans="37:37" x14ac:dyDescent="0.3">
      <c r="AK408" s="3"/>
    </row>
    <row r="409" spans="37:37" x14ac:dyDescent="0.3">
      <c r="AK409" s="3"/>
    </row>
    <row r="410" spans="37:37" x14ac:dyDescent="0.3">
      <c r="AK410" s="3"/>
    </row>
    <row r="411" spans="37:37" x14ac:dyDescent="0.3">
      <c r="AK411" s="3"/>
    </row>
    <row r="412" spans="37:37" x14ac:dyDescent="0.3">
      <c r="AK412" s="3"/>
    </row>
    <row r="413" spans="37:37" x14ac:dyDescent="0.3">
      <c r="AK413" s="3"/>
    </row>
    <row r="414" spans="37:37" x14ac:dyDescent="0.3">
      <c r="AK414" s="3"/>
    </row>
    <row r="415" spans="37:37" x14ac:dyDescent="0.3">
      <c r="AK415" s="3"/>
    </row>
    <row r="416" spans="37:37" x14ac:dyDescent="0.3">
      <c r="AK416" s="3"/>
    </row>
    <row r="417" spans="37:37" x14ac:dyDescent="0.3">
      <c r="AK417" s="3"/>
    </row>
    <row r="418" spans="37:37" x14ac:dyDescent="0.3">
      <c r="AK418" s="3"/>
    </row>
    <row r="419" spans="37:37" x14ac:dyDescent="0.3">
      <c r="AK419" s="3"/>
    </row>
    <row r="420" spans="37:37" x14ac:dyDescent="0.3">
      <c r="AK420" s="3"/>
    </row>
    <row r="421" spans="37:37" x14ac:dyDescent="0.3">
      <c r="AK421" s="3"/>
    </row>
    <row r="422" spans="37:37" x14ac:dyDescent="0.3">
      <c r="AK422" s="3"/>
    </row>
    <row r="423" spans="37:37" x14ac:dyDescent="0.3">
      <c r="AK423" s="3"/>
    </row>
    <row r="424" spans="37:37" x14ac:dyDescent="0.3">
      <c r="AK424" s="3"/>
    </row>
    <row r="425" spans="37:37" x14ac:dyDescent="0.3">
      <c r="AK425" s="3"/>
    </row>
    <row r="426" spans="37:37" x14ac:dyDescent="0.3">
      <c r="AK426" s="3"/>
    </row>
    <row r="427" spans="37:37" x14ac:dyDescent="0.3">
      <c r="AK427" s="3"/>
    </row>
    <row r="428" spans="37:37" x14ac:dyDescent="0.3">
      <c r="AK428" s="3"/>
    </row>
    <row r="429" spans="37:37" x14ac:dyDescent="0.3">
      <c r="AK429" s="3"/>
    </row>
    <row r="430" spans="37:37" x14ac:dyDescent="0.3">
      <c r="AK430" s="3"/>
    </row>
    <row r="431" spans="37:37" x14ac:dyDescent="0.3">
      <c r="AK431" s="3"/>
    </row>
    <row r="432" spans="37:37" x14ac:dyDescent="0.3">
      <c r="AK432" s="3"/>
    </row>
    <row r="433" spans="37:37" x14ac:dyDescent="0.3">
      <c r="AK433" s="3"/>
    </row>
    <row r="434" spans="37:37" x14ac:dyDescent="0.3">
      <c r="AK434" s="3"/>
    </row>
    <row r="435" spans="37:37" x14ac:dyDescent="0.3">
      <c r="AK435" s="3"/>
    </row>
    <row r="436" spans="37:37" x14ac:dyDescent="0.3">
      <c r="AK436" s="3"/>
    </row>
    <row r="437" spans="37:37" x14ac:dyDescent="0.3">
      <c r="AK437" s="3"/>
    </row>
    <row r="438" spans="37:37" x14ac:dyDescent="0.3">
      <c r="AK438" s="3"/>
    </row>
    <row r="439" spans="37:37" x14ac:dyDescent="0.3">
      <c r="AK439" s="3"/>
    </row>
    <row r="440" spans="37:37" x14ac:dyDescent="0.3">
      <c r="AK440" s="3"/>
    </row>
    <row r="441" spans="37:37" x14ac:dyDescent="0.3">
      <c r="AK441" s="3"/>
    </row>
    <row r="442" spans="37:37" x14ac:dyDescent="0.3">
      <c r="AK442" s="3"/>
    </row>
    <row r="443" spans="37:37" x14ac:dyDescent="0.3">
      <c r="AK443" s="3"/>
    </row>
    <row r="444" spans="37:37" x14ac:dyDescent="0.3">
      <c r="AK444" s="3"/>
    </row>
    <row r="445" spans="37:37" x14ac:dyDescent="0.3">
      <c r="AK445" s="3"/>
    </row>
    <row r="446" spans="37:37" x14ac:dyDescent="0.3">
      <c r="AK446" s="3"/>
    </row>
    <row r="447" spans="37:37" x14ac:dyDescent="0.3">
      <c r="AK447" s="3"/>
    </row>
    <row r="448" spans="37:37" x14ac:dyDescent="0.3">
      <c r="AK448" s="3"/>
    </row>
    <row r="449" spans="37:37" x14ac:dyDescent="0.3">
      <c r="AK449" s="3"/>
    </row>
    <row r="450" spans="37:37" x14ac:dyDescent="0.3">
      <c r="AK450" s="3"/>
    </row>
    <row r="451" spans="37:37" x14ac:dyDescent="0.3">
      <c r="AK451" s="3"/>
    </row>
    <row r="452" spans="37:37" x14ac:dyDescent="0.3">
      <c r="AK452" s="3"/>
    </row>
    <row r="453" spans="37:37" x14ac:dyDescent="0.3">
      <c r="AK453" s="3"/>
    </row>
    <row r="454" spans="37:37" x14ac:dyDescent="0.3">
      <c r="AK454" s="3"/>
    </row>
    <row r="455" spans="37:37" x14ac:dyDescent="0.3">
      <c r="AK455" s="3"/>
    </row>
    <row r="456" spans="37:37" x14ac:dyDescent="0.3">
      <c r="AK456" s="3"/>
    </row>
    <row r="457" spans="37:37" x14ac:dyDescent="0.3">
      <c r="AK457" s="3"/>
    </row>
    <row r="458" spans="37:37" x14ac:dyDescent="0.3">
      <c r="AK458" s="3"/>
    </row>
    <row r="459" spans="37:37" x14ac:dyDescent="0.3">
      <c r="AK459" s="3"/>
    </row>
    <row r="460" spans="37:37" x14ac:dyDescent="0.3">
      <c r="AK460" s="3"/>
    </row>
    <row r="461" spans="37:37" x14ac:dyDescent="0.3">
      <c r="AK461" s="3"/>
    </row>
    <row r="462" spans="37:37" x14ac:dyDescent="0.3">
      <c r="AK462" s="3"/>
    </row>
    <row r="463" spans="37:37" x14ac:dyDescent="0.3">
      <c r="AK463" s="3"/>
    </row>
    <row r="464" spans="37:37" x14ac:dyDescent="0.3">
      <c r="AK464" s="3"/>
    </row>
    <row r="465" spans="37:37" x14ac:dyDescent="0.3">
      <c r="AK465" s="3"/>
    </row>
    <row r="466" spans="37:37" x14ac:dyDescent="0.3">
      <c r="AK466" s="3"/>
    </row>
    <row r="467" spans="37:37" x14ac:dyDescent="0.3">
      <c r="AK467" s="3"/>
    </row>
    <row r="468" spans="37:37" x14ac:dyDescent="0.3">
      <c r="AK468" s="3"/>
    </row>
    <row r="469" spans="37:37" x14ac:dyDescent="0.3">
      <c r="AK469" s="3"/>
    </row>
    <row r="470" spans="37:37" x14ac:dyDescent="0.3">
      <c r="AK470" s="3"/>
    </row>
    <row r="471" spans="37:37" x14ac:dyDescent="0.3">
      <c r="AK471" s="3"/>
    </row>
    <row r="472" spans="37:37" x14ac:dyDescent="0.3">
      <c r="AK472" s="3"/>
    </row>
    <row r="473" spans="37:37" x14ac:dyDescent="0.3">
      <c r="AK473" s="3"/>
    </row>
    <row r="474" spans="37:37" x14ac:dyDescent="0.3">
      <c r="AK474" s="3"/>
    </row>
    <row r="475" spans="37:37" x14ac:dyDescent="0.3">
      <c r="AK475" s="3"/>
    </row>
    <row r="476" spans="37:37" x14ac:dyDescent="0.3">
      <c r="AK476" s="3"/>
    </row>
    <row r="477" spans="37:37" x14ac:dyDescent="0.3">
      <c r="AK477" s="3"/>
    </row>
    <row r="478" spans="37:37" x14ac:dyDescent="0.3">
      <c r="AK478" s="3"/>
    </row>
    <row r="479" spans="37:37" x14ac:dyDescent="0.3">
      <c r="AK479" s="3"/>
    </row>
    <row r="480" spans="37:37" x14ac:dyDescent="0.3">
      <c r="AK480" s="3"/>
    </row>
    <row r="481" spans="37:37" x14ac:dyDescent="0.3">
      <c r="AK481" s="3"/>
    </row>
    <row r="482" spans="37:37" x14ac:dyDescent="0.3">
      <c r="AK482" s="3"/>
    </row>
    <row r="483" spans="37:37" x14ac:dyDescent="0.3">
      <c r="AK483" s="3"/>
    </row>
    <row r="484" spans="37:37" x14ac:dyDescent="0.3">
      <c r="AK484" s="3"/>
    </row>
    <row r="485" spans="37:37" x14ac:dyDescent="0.3">
      <c r="AK485" s="3"/>
    </row>
    <row r="486" spans="37:37" x14ac:dyDescent="0.3">
      <c r="AK486" s="3"/>
    </row>
    <row r="487" spans="37:37" x14ac:dyDescent="0.3">
      <c r="AK487" s="3"/>
    </row>
    <row r="488" spans="37:37" x14ac:dyDescent="0.3">
      <c r="AK488" s="3"/>
    </row>
    <row r="489" spans="37:37" x14ac:dyDescent="0.3">
      <c r="AK489" s="3"/>
    </row>
    <row r="490" spans="37:37" x14ac:dyDescent="0.3">
      <c r="AK490" s="3"/>
    </row>
    <row r="491" spans="37:37" x14ac:dyDescent="0.3">
      <c r="AK491" s="3"/>
    </row>
    <row r="492" spans="37:37" x14ac:dyDescent="0.3">
      <c r="AK492" s="3"/>
    </row>
    <row r="493" spans="37:37" x14ac:dyDescent="0.3">
      <c r="AK493" s="3"/>
    </row>
    <row r="494" spans="37:37" x14ac:dyDescent="0.3">
      <c r="AK494" s="3"/>
    </row>
    <row r="495" spans="37:37" x14ac:dyDescent="0.3">
      <c r="AK495" s="3"/>
    </row>
    <row r="496" spans="37:37" x14ac:dyDescent="0.3">
      <c r="AK496" s="3"/>
    </row>
    <row r="497" spans="37:37" x14ac:dyDescent="0.3">
      <c r="AK497" s="3"/>
    </row>
    <row r="498" spans="37:37" x14ac:dyDescent="0.3">
      <c r="AK498" s="3"/>
    </row>
    <row r="499" spans="37:37" x14ac:dyDescent="0.3">
      <c r="AK499" s="3"/>
    </row>
    <row r="500" spans="37:37" x14ac:dyDescent="0.3">
      <c r="AK500" s="3"/>
    </row>
    <row r="501" spans="37:37" x14ac:dyDescent="0.3">
      <c r="AK501" s="3"/>
    </row>
    <row r="502" spans="37:37" x14ac:dyDescent="0.3">
      <c r="AK502" s="3"/>
    </row>
    <row r="503" spans="37:37" x14ac:dyDescent="0.3">
      <c r="AK503" s="3"/>
    </row>
    <row r="504" spans="37:37" x14ac:dyDescent="0.3">
      <c r="AK504" s="3"/>
    </row>
    <row r="505" spans="37:37" x14ac:dyDescent="0.3">
      <c r="AK505" s="3"/>
    </row>
    <row r="506" spans="37:37" x14ac:dyDescent="0.3">
      <c r="AK506" s="3"/>
    </row>
    <row r="507" spans="37:37" x14ac:dyDescent="0.3">
      <c r="AK507" s="3"/>
    </row>
    <row r="508" spans="37:37" x14ac:dyDescent="0.3">
      <c r="AK508" s="3"/>
    </row>
    <row r="509" spans="37:37" x14ac:dyDescent="0.3">
      <c r="AK509" s="3"/>
    </row>
    <row r="510" spans="37:37" x14ac:dyDescent="0.3">
      <c r="AK510" s="3"/>
    </row>
    <row r="511" spans="37:37" x14ac:dyDescent="0.3">
      <c r="AK511" s="3"/>
    </row>
    <row r="512" spans="37:37" x14ac:dyDescent="0.3">
      <c r="AK512" s="3"/>
    </row>
    <row r="513" spans="37:37" x14ac:dyDescent="0.3">
      <c r="AK513" s="3"/>
    </row>
    <row r="514" spans="37:37" x14ac:dyDescent="0.3">
      <c r="AK514" s="3"/>
    </row>
    <row r="515" spans="37:37" x14ac:dyDescent="0.3">
      <c r="AK515" s="3"/>
    </row>
    <row r="516" spans="37:37" x14ac:dyDescent="0.3">
      <c r="AK516" s="3"/>
    </row>
    <row r="517" spans="37:37" x14ac:dyDescent="0.3">
      <c r="AK517" s="3"/>
    </row>
    <row r="518" spans="37:37" x14ac:dyDescent="0.3">
      <c r="AK518" s="3"/>
    </row>
    <row r="519" spans="37:37" x14ac:dyDescent="0.3">
      <c r="AK519" s="3"/>
    </row>
    <row r="520" spans="37:37" x14ac:dyDescent="0.3">
      <c r="AK520" s="3"/>
    </row>
    <row r="521" spans="37:37" x14ac:dyDescent="0.3">
      <c r="AK521" s="3"/>
    </row>
    <row r="522" spans="37:37" x14ac:dyDescent="0.3">
      <c r="AK522" s="3"/>
    </row>
    <row r="523" spans="37:37" x14ac:dyDescent="0.3">
      <c r="AK523" s="3"/>
    </row>
    <row r="524" spans="37:37" x14ac:dyDescent="0.3">
      <c r="AK524" s="3"/>
    </row>
    <row r="525" spans="37:37" x14ac:dyDescent="0.3">
      <c r="AK525" s="3"/>
    </row>
    <row r="526" spans="37:37" x14ac:dyDescent="0.3">
      <c r="AK526" s="3"/>
    </row>
    <row r="527" spans="37:37" x14ac:dyDescent="0.3">
      <c r="AK527" s="3"/>
    </row>
    <row r="528" spans="37:37" x14ac:dyDescent="0.3">
      <c r="AK528" s="3"/>
    </row>
    <row r="529" spans="37:37" x14ac:dyDescent="0.3">
      <c r="AK529" s="3"/>
    </row>
    <row r="530" spans="37:37" x14ac:dyDescent="0.3">
      <c r="AK530" s="3"/>
    </row>
    <row r="531" spans="37:37" x14ac:dyDescent="0.3">
      <c r="AK531" s="3"/>
    </row>
    <row r="532" spans="37:37" x14ac:dyDescent="0.3">
      <c r="AK532" s="3"/>
    </row>
    <row r="533" spans="37:37" x14ac:dyDescent="0.3">
      <c r="AK533" s="3"/>
    </row>
    <row r="534" spans="37:37" x14ac:dyDescent="0.3">
      <c r="AK534" s="3"/>
    </row>
    <row r="535" spans="37:37" x14ac:dyDescent="0.3">
      <c r="AK535" s="3"/>
    </row>
    <row r="536" spans="37:37" x14ac:dyDescent="0.3">
      <c r="AK536" s="3"/>
    </row>
    <row r="537" spans="37:37" x14ac:dyDescent="0.3">
      <c r="AK537" s="3"/>
    </row>
    <row r="538" spans="37:37" x14ac:dyDescent="0.3">
      <c r="AK538" s="3"/>
    </row>
    <row r="539" spans="37:37" x14ac:dyDescent="0.3">
      <c r="AK539" s="3"/>
    </row>
    <row r="540" spans="37:37" x14ac:dyDescent="0.3">
      <c r="AK540" s="3"/>
    </row>
    <row r="541" spans="37:37" x14ac:dyDescent="0.3">
      <c r="AK541" s="3"/>
    </row>
    <row r="542" spans="37:37" x14ac:dyDescent="0.3">
      <c r="AK542" s="3"/>
    </row>
    <row r="543" spans="37:37" x14ac:dyDescent="0.3">
      <c r="AK543" s="3"/>
    </row>
    <row r="544" spans="37:37" x14ac:dyDescent="0.3">
      <c r="AK544" s="3"/>
    </row>
    <row r="545" spans="37:37" x14ac:dyDescent="0.3">
      <c r="AK545" s="3"/>
    </row>
    <row r="546" spans="37:37" x14ac:dyDescent="0.3">
      <c r="AK546" s="3"/>
    </row>
    <row r="547" spans="37:37" x14ac:dyDescent="0.3">
      <c r="AK547" s="3"/>
    </row>
    <row r="548" spans="37:37" x14ac:dyDescent="0.3">
      <c r="AK548" s="3"/>
    </row>
    <row r="549" spans="37:37" x14ac:dyDescent="0.3">
      <c r="AK549" s="3"/>
    </row>
    <row r="550" spans="37:37" x14ac:dyDescent="0.3">
      <c r="AK550" s="3"/>
    </row>
    <row r="551" spans="37:37" x14ac:dyDescent="0.3">
      <c r="AK551" s="3"/>
    </row>
    <row r="552" spans="37:37" x14ac:dyDescent="0.3">
      <c r="AK552" s="3"/>
    </row>
    <row r="553" spans="37:37" x14ac:dyDescent="0.3">
      <c r="AK553" s="3"/>
    </row>
    <row r="554" spans="37:37" x14ac:dyDescent="0.3">
      <c r="AK554" s="3"/>
    </row>
    <row r="555" spans="37:37" x14ac:dyDescent="0.3">
      <c r="AK555" s="3"/>
    </row>
    <row r="556" spans="37:37" x14ac:dyDescent="0.3">
      <c r="AK556" s="3"/>
    </row>
    <row r="557" spans="37:37" x14ac:dyDescent="0.3">
      <c r="AK557" s="3"/>
    </row>
    <row r="558" spans="37:37" x14ac:dyDescent="0.3">
      <c r="AK558" s="3"/>
    </row>
    <row r="559" spans="37:37" x14ac:dyDescent="0.3">
      <c r="AK559" s="3"/>
    </row>
    <row r="560" spans="37:37" x14ac:dyDescent="0.3">
      <c r="AK560" s="3"/>
    </row>
    <row r="561" spans="37:37" x14ac:dyDescent="0.3">
      <c r="AK561" s="3"/>
    </row>
    <row r="562" spans="37:37" x14ac:dyDescent="0.3">
      <c r="AK562" s="3"/>
    </row>
    <row r="563" spans="37:37" x14ac:dyDescent="0.3">
      <c r="AK563" s="3"/>
    </row>
    <row r="564" spans="37:37" x14ac:dyDescent="0.3">
      <c r="AK564" s="3"/>
    </row>
    <row r="565" spans="37:37" x14ac:dyDescent="0.3">
      <c r="AK565" s="3"/>
    </row>
    <row r="566" spans="37:37" x14ac:dyDescent="0.3">
      <c r="AK566" s="3"/>
    </row>
    <row r="567" spans="37:37" x14ac:dyDescent="0.3">
      <c r="AK567" s="3"/>
    </row>
    <row r="568" spans="37:37" x14ac:dyDescent="0.3">
      <c r="AK568" s="3"/>
    </row>
    <row r="569" spans="37:37" x14ac:dyDescent="0.3">
      <c r="AK569" s="3"/>
    </row>
    <row r="570" spans="37:37" x14ac:dyDescent="0.3">
      <c r="AK570" s="3"/>
    </row>
    <row r="571" spans="37:37" x14ac:dyDescent="0.3">
      <c r="AK571" s="3"/>
    </row>
    <row r="572" spans="37:37" x14ac:dyDescent="0.3">
      <c r="AK572" s="3"/>
    </row>
    <row r="573" spans="37:37" x14ac:dyDescent="0.3">
      <c r="AK573" s="3"/>
    </row>
    <row r="574" spans="37:37" x14ac:dyDescent="0.3">
      <c r="AK574" s="3"/>
    </row>
    <row r="575" spans="37:37" x14ac:dyDescent="0.3">
      <c r="AK575" s="3"/>
    </row>
    <row r="576" spans="37:37" x14ac:dyDescent="0.3">
      <c r="AK576" s="3"/>
    </row>
    <row r="577" spans="37:37" x14ac:dyDescent="0.3">
      <c r="AK577" s="3"/>
    </row>
    <row r="578" spans="37:37" x14ac:dyDescent="0.3">
      <c r="AK578" s="3"/>
    </row>
    <row r="579" spans="37:37" x14ac:dyDescent="0.3">
      <c r="AK579" s="3"/>
    </row>
    <row r="580" spans="37:37" x14ac:dyDescent="0.3">
      <c r="AK580" s="3"/>
    </row>
    <row r="581" spans="37:37" x14ac:dyDescent="0.3">
      <c r="AK58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Schless</dc:creator>
  <cp:lastModifiedBy>Laura Schless</cp:lastModifiedBy>
  <dcterms:created xsi:type="dcterms:W3CDTF">2025-12-15T18:26:06Z</dcterms:created>
  <dcterms:modified xsi:type="dcterms:W3CDTF">2025-12-15T18:26:37Z</dcterms:modified>
</cp:coreProperties>
</file>